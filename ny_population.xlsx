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neamarie/Desktop/Speciale data/Data forberedelse/"/>
    </mc:Choice>
  </mc:AlternateContent>
  <xr:revisionPtr revIDLastSave="0" documentId="13_ncr:1_{C70D6CEA-D4A8-D04E-9CB3-AC8004BAA884}" xr6:coauthVersionLast="47" xr6:coauthVersionMax="47" xr10:uidLastSave="{00000000-0000-0000-0000-000000000000}"/>
  <bookViews>
    <workbookView xWindow="8080" yWindow="1500" windowWidth="24620" windowHeight="16280" activeTab="5" xr2:uid="{00000000-000D-0000-FFFF-FFFF00000000}"/>
  </bookViews>
  <sheets>
    <sheet name="Alder" sheetId="2" r:id="rId1"/>
    <sheet name="Køn" sheetId="3" r:id="rId2"/>
    <sheet name="Kommune" sheetId="4" r:id="rId3"/>
    <sheet name="Region" sheetId="5" r:id="rId4"/>
    <sheet name="Uddannelse" sheetId="6" r:id="rId5"/>
    <sheet name="Partivalg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B101" i="4"/>
  <c r="B96" i="2"/>
  <c r="C12" i="6"/>
  <c r="C11" i="6"/>
  <c r="C10" i="6"/>
  <c r="C9" i="6"/>
  <c r="C8" i="6"/>
  <c r="C7" i="6"/>
  <c r="C6" i="6"/>
  <c r="C5" i="6"/>
  <c r="C4" i="6"/>
  <c r="C3" i="6"/>
  <c r="C2" i="6"/>
  <c r="B12" i="6"/>
  <c r="B7" i="5"/>
  <c r="C4" i="5" s="1"/>
  <c r="B4" i="3"/>
  <c r="C4" i="3" s="1"/>
  <c r="C5" i="5" l="1"/>
  <c r="C2" i="5"/>
  <c r="C6" i="5"/>
  <c r="C3" i="5"/>
  <c r="C7" i="5"/>
  <c r="C2" i="3"/>
  <c r="C3" i="3"/>
</calcChain>
</file>

<file path=xl/sharedStrings.xml><?xml version="1.0" encoding="utf-8"?>
<sst xmlns="http://schemas.openxmlformats.org/spreadsheetml/2006/main" count="244" uniqueCount="233">
  <si>
    <t>alder</t>
  </si>
  <si>
    <t>antal</t>
  </si>
  <si>
    <t>andel</t>
  </si>
  <si>
    <t>total</t>
  </si>
  <si>
    <t>køn</t>
  </si>
  <si>
    <t>kvinder</t>
  </si>
  <si>
    <t>mænd</t>
  </si>
  <si>
    <t>Region Hovedstaden</t>
  </si>
  <si>
    <t>Region Sjælland</t>
  </si>
  <si>
    <t>Region Syddanmark</t>
  </si>
  <si>
    <t>Region Midtjylland</t>
  </si>
  <si>
    <t>Region Nordjylland</t>
  </si>
  <si>
    <t>region</t>
  </si>
  <si>
    <t>København</t>
  </si>
  <si>
    <t>Frederiksberg</t>
  </si>
  <si>
    <t>Dragør</t>
  </si>
  <si>
    <t>Tårnby</t>
  </si>
  <si>
    <t>Albertslund</t>
  </si>
  <si>
    <t>Ballerup</t>
  </si>
  <si>
    <t>Brøndby</t>
  </si>
  <si>
    <t>Gentofte</t>
  </si>
  <si>
    <t>Gladsaxe</t>
  </si>
  <si>
    <t>Glostrup</t>
  </si>
  <si>
    <t>Herlev</t>
  </si>
  <si>
    <t>Hvidovre</t>
  </si>
  <si>
    <t>Høje-Taastrup</t>
  </si>
  <si>
    <t>Ishøj</t>
  </si>
  <si>
    <t>Lyngby-Taarbæk</t>
  </si>
  <si>
    <t>Rødovre</t>
  </si>
  <si>
    <t>Vallensbæk</t>
  </si>
  <si>
    <t>Allerød</t>
  </si>
  <si>
    <t>Egedal</t>
  </si>
  <si>
    <t>Fredensborg</t>
  </si>
  <si>
    <t>Frederikssund</t>
  </si>
  <si>
    <t>Furesø</t>
  </si>
  <si>
    <t>Gribskov</t>
  </si>
  <si>
    <t>Halsnæs</t>
  </si>
  <si>
    <t>Helsingør</t>
  </si>
  <si>
    <t>Hillerød</t>
  </si>
  <si>
    <t>Hørsholm</t>
  </si>
  <si>
    <t>Rudersdal</t>
  </si>
  <si>
    <t>Bornholm</t>
  </si>
  <si>
    <t>Christiansø</t>
  </si>
  <si>
    <t>Greve</t>
  </si>
  <si>
    <t>Køge</t>
  </si>
  <si>
    <t>Lejre</t>
  </si>
  <si>
    <t>Roskilde</t>
  </si>
  <si>
    <t>Solrød</t>
  </si>
  <si>
    <t>Faxe</t>
  </si>
  <si>
    <t>Guldborgsund</t>
  </si>
  <si>
    <t>Holbæk</t>
  </si>
  <si>
    <t>Kalundborg</t>
  </si>
  <si>
    <t>Lolland</t>
  </si>
  <si>
    <t>Næstved</t>
  </si>
  <si>
    <t>Odsherred</t>
  </si>
  <si>
    <t>Ringsted</t>
  </si>
  <si>
    <t>Slagelse</t>
  </si>
  <si>
    <t>Sorø</t>
  </si>
  <si>
    <t>Stevns</t>
  </si>
  <si>
    <t>Vordingborg</t>
  </si>
  <si>
    <t>Assens</t>
  </si>
  <si>
    <t>Faaborg-Midtfyn</t>
  </si>
  <si>
    <t>Kerteminde</t>
  </si>
  <si>
    <t>Langeland</t>
  </si>
  <si>
    <t>Middelfart</t>
  </si>
  <si>
    <t>Nordfyns</t>
  </si>
  <si>
    <t>Nyborg</t>
  </si>
  <si>
    <t>Odense</t>
  </si>
  <si>
    <t>Svendborg</t>
  </si>
  <si>
    <t>Ærø</t>
  </si>
  <si>
    <t>Billund</t>
  </si>
  <si>
    <t>Esbjerg</t>
  </si>
  <si>
    <t>Fanø</t>
  </si>
  <si>
    <t>Fredericia</t>
  </si>
  <si>
    <t>Haderslev</t>
  </si>
  <si>
    <t>Kolding</t>
  </si>
  <si>
    <t>Sønderborg</t>
  </si>
  <si>
    <t>Tønder</t>
  </si>
  <si>
    <t>Varde</t>
  </si>
  <si>
    <t>Vejen</t>
  </si>
  <si>
    <t>Vejle</t>
  </si>
  <si>
    <t>Aabenraa</t>
  </si>
  <si>
    <t>Favrskov</t>
  </si>
  <si>
    <t>Hedensted</t>
  </si>
  <si>
    <t>Horsens</t>
  </si>
  <si>
    <t>Norddjurs</t>
  </si>
  <si>
    <t>Odder</t>
  </si>
  <si>
    <t>Randers</t>
  </si>
  <si>
    <t>Samsø</t>
  </si>
  <si>
    <t>Silkeborg</t>
  </si>
  <si>
    <t>Skanderborg</t>
  </si>
  <si>
    <t>Syddjurs</t>
  </si>
  <si>
    <t>Aarhus</t>
  </si>
  <si>
    <t>Herning</t>
  </si>
  <si>
    <t>Holstebro</t>
  </si>
  <si>
    <t>Ikast-Brande</t>
  </si>
  <si>
    <t>Lemvig</t>
  </si>
  <si>
    <t>Ringkøbing-Skjern</t>
  </si>
  <si>
    <t>Skive</t>
  </si>
  <si>
    <t>Struer</t>
  </si>
  <si>
    <t>Viborg</t>
  </si>
  <si>
    <t>Brønderslev</t>
  </si>
  <si>
    <t>Frederikshavn</t>
  </si>
  <si>
    <t>Hjørring</t>
  </si>
  <si>
    <t>Jammerbugt</t>
  </si>
  <si>
    <t>Læsø</t>
  </si>
  <si>
    <t>Mariagerfjord</t>
  </si>
  <si>
    <t>Morsø</t>
  </si>
  <si>
    <t>Rebild</t>
  </si>
  <si>
    <t>Thisted</t>
  </si>
  <si>
    <t>Vesthimmerlands</t>
  </si>
  <si>
    <t>Aalborg</t>
  </si>
  <si>
    <t>kommune</t>
  </si>
  <si>
    <t>H10 Grundskole</t>
  </si>
  <si>
    <t>H1001 Ingen uddannelse</t>
  </si>
  <si>
    <t>H20 Gymnasiale uddannelser</t>
  </si>
  <si>
    <t>H30 Erhvervsfaglige uddannelser</t>
  </si>
  <si>
    <t>H40 Korte videregående uddannelser, KVU</t>
  </si>
  <si>
    <t>H50 Mellemlange videregående uddannelser, MVU</t>
  </si>
  <si>
    <t>H60 Bacheloruddannelser, BACH</t>
  </si>
  <si>
    <t>H70 Lange videregående uddannelser, LVU</t>
  </si>
  <si>
    <t>H80 Ph.d. og forskeruddannelser</t>
  </si>
  <si>
    <t>H90 Uoplyst mv.</t>
  </si>
  <si>
    <t>højest_fuldførte_uddannelse</t>
  </si>
  <si>
    <t>18 år</t>
  </si>
  <si>
    <t>19 år</t>
  </si>
  <si>
    <t>20 år</t>
  </si>
  <si>
    <t>21 år</t>
  </si>
  <si>
    <t>22 år</t>
  </si>
  <si>
    <t>23 år</t>
  </si>
  <si>
    <t>24 år</t>
  </si>
  <si>
    <t>25 år</t>
  </si>
  <si>
    <t>26 år</t>
  </si>
  <si>
    <t>27 år</t>
  </si>
  <si>
    <t>28 år</t>
  </si>
  <si>
    <t>29 år</t>
  </si>
  <si>
    <t>30 år</t>
  </si>
  <si>
    <t>31 år</t>
  </si>
  <si>
    <t>32 år</t>
  </si>
  <si>
    <t>33 år</t>
  </si>
  <si>
    <t>34 år</t>
  </si>
  <si>
    <t>35 år</t>
  </si>
  <si>
    <t>36 år</t>
  </si>
  <si>
    <t>37 år</t>
  </si>
  <si>
    <t>38 år</t>
  </si>
  <si>
    <t>39 år</t>
  </si>
  <si>
    <t>40 år</t>
  </si>
  <si>
    <t>41 år</t>
  </si>
  <si>
    <t>42 år</t>
  </si>
  <si>
    <t>43 år</t>
  </si>
  <si>
    <t>44 år</t>
  </si>
  <si>
    <t>45 år</t>
  </si>
  <si>
    <t>46 år</t>
  </si>
  <si>
    <t>47 år</t>
  </si>
  <si>
    <t>48 år</t>
  </si>
  <si>
    <t>49 år</t>
  </si>
  <si>
    <t>50 år</t>
  </si>
  <si>
    <t>51 år</t>
  </si>
  <si>
    <t>52 år</t>
  </si>
  <si>
    <t>53 år</t>
  </si>
  <si>
    <t>54 år</t>
  </si>
  <si>
    <t>55 år</t>
  </si>
  <si>
    <t>56 år</t>
  </si>
  <si>
    <t>57 år</t>
  </si>
  <si>
    <t>58 år</t>
  </si>
  <si>
    <t>59 år</t>
  </si>
  <si>
    <t>60 år</t>
  </si>
  <si>
    <t>61 år</t>
  </si>
  <si>
    <t>62 år</t>
  </si>
  <si>
    <t>63 år</t>
  </si>
  <si>
    <t>64 år</t>
  </si>
  <si>
    <t>65 år</t>
  </si>
  <si>
    <t>66 år</t>
  </si>
  <si>
    <t>67 år</t>
  </si>
  <si>
    <t>68 år</t>
  </si>
  <si>
    <t>69 år</t>
  </si>
  <si>
    <t>70 år</t>
  </si>
  <si>
    <t>71 år</t>
  </si>
  <si>
    <t>72 år</t>
  </si>
  <si>
    <t>73 år</t>
  </si>
  <si>
    <t>74 år</t>
  </si>
  <si>
    <t>75 år</t>
  </si>
  <si>
    <t>76 år</t>
  </si>
  <si>
    <t>77 år</t>
  </si>
  <si>
    <t>78 år</t>
  </si>
  <si>
    <t>79 år</t>
  </si>
  <si>
    <t>80 år</t>
  </si>
  <si>
    <t>81 år</t>
  </si>
  <si>
    <t>82 år</t>
  </si>
  <si>
    <t>83 år</t>
  </si>
  <si>
    <t>84 år</t>
  </si>
  <si>
    <t>85 år</t>
  </si>
  <si>
    <t>86 år</t>
  </si>
  <si>
    <t>87 år</t>
  </si>
  <si>
    <t>88 år</t>
  </si>
  <si>
    <t>89 år</t>
  </si>
  <si>
    <t>90 år</t>
  </si>
  <si>
    <t>91 år</t>
  </si>
  <si>
    <t>92 år</t>
  </si>
  <si>
    <t>93 år</t>
  </si>
  <si>
    <t>94 år</t>
  </si>
  <si>
    <t>95 år</t>
  </si>
  <si>
    <t>96 år</t>
  </si>
  <si>
    <t>97 år</t>
  </si>
  <si>
    <t>98 år</t>
  </si>
  <si>
    <t>99 år</t>
  </si>
  <si>
    <t>100 år</t>
  </si>
  <si>
    <t>101 år</t>
  </si>
  <si>
    <t>102 år</t>
  </si>
  <si>
    <t>103 år</t>
  </si>
  <si>
    <t>104 år</t>
  </si>
  <si>
    <t>105 år</t>
  </si>
  <si>
    <t>106 år</t>
  </si>
  <si>
    <t>107 år</t>
  </si>
  <si>
    <t>108 år</t>
  </si>
  <si>
    <t>109 år</t>
  </si>
  <si>
    <t>110 år</t>
  </si>
  <si>
    <t>111 år</t>
  </si>
  <si>
    <t>Parti</t>
  </si>
  <si>
    <t>Procentfordeling</t>
  </si>
  <si>
    <t>A: Socialdemokratiet</t>
  </si>
  <si>
    <t>O: Dansk Folkeparti</t>
  </si>
  <si>
    <t>I: Liberal Alliance</t>
  </si>
  <si>
    <t>V: Venstre, Danmarks Liberale Parti</t>
  </si>
  <si>
    <t>Æ: Danmarksdemokraterne - Inger Støjberg</t>
  </si>
  <si>
    <t>Ø: Enhedslisten - De Rød-Grønne</t>
  </si>
  <si>
    <t>C: Det Konservative Folkeparti</t>
  </si>
  <si>
    <t>B: Radikale Venstre</t>
  </si>
  <si>
    <t>M: Moderaterne</t>
  </si>
  <si>
    <t>Å: Alternativet</t>
  </si>
  <si>
    <t>H: Borgernes Parti - Lars Boje Mathiesen</t>
  </si>
  <si>
    <t>Total</t>
  </si>
  <si>
    <t>F: SF - Socialistisk Folkeparti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</si>
</sst>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 applyNumberFormat="0" applyBorder="0" applyAlignment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164" fontId="0" fillId="0" borderId="0" xfId="1" applyNumberFormat="1" applyFont="1"/>
    <xf numFmtId="0" fontId="0" fillId="0" borderId="0" xfId="0" applyFont="1" applyAlignment="1">
      <alignment horizontal="left"/>
    </xf>
    <xf numFmtId="0" fontId="6" fillId="0" borderId="0" xfId="2"/>
  </cellXfs>
  <cellStyles count="3">
    <cellStyle name="Link" xfId="2" builtinId="8"/>
    <cellStyle name="Normal" xfId="0" builtinId="0"/>
    <cellStyle name="Pro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3365B8-F38F-474E-A500-F456D11AE4B8}" name="Tabel6" displayName="Tabel6" ref="A1:B96" totalsRowShown="0">
  <autoFilter ref="A1:B96" xr:uid="{F73365B8-F38F-474E-A500-F456D11AE4B8}"/>
  <tableColumns count="2">
    <tableColumn id="1" xr3:uid="{D3136C76-AFEB-6842-BFFB-3E24586E3DBF}" name="alder" dataDxfId="4"/>
    <tableColumn id="2" xr3:uid="{12D02DC7-D2CE-0E4F-8326-79BF955DD444}" name="antal" dataDxfId="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18AFF0-CFA4-3844-80EC-A02FDB655A82}" name="Tabel1" displayName="Tabel1" ref="A1:C4" totalsRowShown="0">
  <autoFilter ref="A1:C4" xr:uid="{5E18AFF0-CFA4-3844-80EC-A02FDB655A82}"/>
  <tableColumns count="3">
    <tableColumn id="1" xr3:uid="{65DE6E90-C19C-584B-BF1E-D68A309C4A18}" name="køn"/>
    <tableColumn id="2" xr3:uid="{A1A47EB1-7F17-2741-B585-0323B5935AB5}" name="antal"/>
    <tableColumn id="3" xr3:uid="{0870C529-7C88-6F46-B900-9C3A2AF8829F}" name="andel" dataDxfId="10" dataCellStyle="Procent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390431-1B50-8840-81B5-9082218C6157}" name="Tabel7" displayName="Tabel7" ref="A1:C101" totalsRowShown="0">
  <autoFilter ref="A1:C101" xr:uid="{3A390431-1B50-8840-81B5-9082218C6157}"/>
  <tableColumns count="3">
    <tableColumn id="1" xr3:uid="{DBB0C407-81B9-9E44-9EBD-D31A47DD081D}" name="kommune" dataDxfId="2"/>
    <tableColumn id="2" xr3:uid="{DB38EA1B-E0CF-F24B-9E95-88BFFAD8CA02}" name="antal"/>
    <tableColumn id="3" xr3:uid="{A8E5D9A7-E9F1-2D41-9228-A98C4DB5334B}" name="andel" dataDxfId="1" dataCellStyle="Procent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E9AF0D-CA90-9A43-A764-C7C5D085381B}" name="Tabel2" displayName="Tabel2" ref="A1:C7" totalsRowShown="0">
  <autoFilter ref="A1:C7" xr:uid="{3BE9AF0D-CA90-9A43-A764-C7C5D085381B}"/>
  <tableColumns count="3">
    <tableColumn id="1" xr3:uid="{8FA0E421-D21F-D44F-A870-FBF2034F2964}" name="region"/>
    <tableColumn id="2" xr3:uid="{67850C93-666D-F847-BFEB-EBBC00F058DF}" name="antal"/>
    <tableColumn id="3" xr3:uid="{2D047960-D697-3744-B40C-B06C52DFEBF7}" name="andel" dataDxfId="9" dataCellStyle="Procent">
      <calculatedColumnFormula>Tabel2[[#This Row],[antal]]/B3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D84472-3539-B04F-906C-23E738D54787}" name="Tabel4" displayName="Tabel4" ref="A1:C12" totalsRowShown="0" headerRowDxfId="5">
  <autoFilter ref="A1:C12" xr:uid="{E0D84472-3539-B04F-906C-23E738D54787}"/>
  <tableColumns count="3">
    <tableColumn id="1" xr3:uid="{D7814BA3-64D1-0C42-8110-F5F499C9AF61}" name="højest_fuldførte_uddannelse" dataDxfId="8"/>
    <tableColumn id="2" xr3:uid="{9BB18BED-CEFE-7249-89ED-F00E6741BA4D}" name="antal" dataDxfId="7"/>
    <tableColumn id="3" xr3:uid="{7F0BB800-82F8-B048-9F9E-37AF4E463561}" name="andel" dataDxfId="6" dataCellStyle="Procent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A8D9CDF-1E51-1D47-961B-4055212289F9}" name="Tabel29" displayName="Tabel29" ref="A1:B14" totalsRowShown="0">
  <autoFilter ref="A1:B14" xr:uid="{1A8D9CDF-1E51-1D47-961B-4055212289F9}"/>
  <tableColumns count="2">
    <tableColumn id="1" xr3:uid="{25BA6A35-9C84-1949-8A18-E460F9A790ED}" name="Parti"/>
    <tableColumn id="2" xr3:uid="{BD2739BC-2859-3045-B8CA-8267DD9FDBAB}" name="Procentfordeling" dataDxfId="0" dataCellStyle="Procent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workbookViewId="0">
      <selection activeCell="D24" sqref="D24"/>
    </sheetView>
  </sheetViews>
  <sheetFormatPr baseColWidth="10" defaultColWidth="8.83203125" defaultRowHeight="15" x14ac:dyDescent="0.2"/>
  <cols>
    <col min="1" max="1" width="14.1640625" customWidth="1"/>
    <col min="2" max="2" width="13.33203125" customWidth="1"/>
    <col min="3" max="3" width="9.1640625" customWidth="1"/>
    <col min="4" max="4" width="18.1640625" customWidth="1"/>
    <col min="5" max="5" width="8.83203125" customWidth="1"/>
    <col min="6" max="6" width="9.6640625" customWidth="1"/>
  </cols>
  <sheetData>
    <row r="1" spans="1:3" x14ac:dyDescent="0.2">
      <c r="A1" t="s">
        <v>0</v>
      </c>
      <c r="B1" s="3" t="s">
        <v>1</v>
      </c>
      <c r="C1" s="4"/>
    </row>
    <row r="2" spans="1:3" x14ac:dyDescent="0.2">
      <c r="A2" s="3" t="s">
        <v>124</v>
      </c>
      <c r="B2" s="4">
        <v>70477</v>
      </c>
      <c r="C2" s="4"/>
    </row>
    <row r="3" spans="1:3" x14ac:dyDescent="0.2">
      <c r="A3" s="3" t="s">
        <v>125</v>
      </c>
      <c r="B3" s="4">
        <v>71685</v>
      </c>
      <c r="C3" s="4"/>
    </row>
    <row r="4" spans="1:3" x14ac:dyDescent="0.2">
      <c r="A4" s="3" t="s">
        <v>126</v>
      </c>
      <c r="B4" s="4">
        <v>72521</v>
      </c>
      <c r="C4" s="4"/>
    </row>
    <row r="5" spans="1:3" x14ac:dyDescent="0.2">
      <c r="A5" s="3" t="s">
        <v>127</v>
      </c>
      <c r="B5" s="4">
        <v>74035</v>
      </c>
      <c r="C5" s="4"/>
    </row>
    <row r="6" spans="1:3" x14ac:dyDescent="0.2">
      <c r="A6" s="3" t="s">
        <v>128</v>
      </c>
      <c r="B6" s="4">
        <v>74572</v>
      </c>
      <c r="C6" s="4"/>
    </row>
    <row r="7" spans="1:3" x14ac:dyDescent="0.2">
      <c r="A7" s="3" t="s">
        <v>129</v>
      </c>
      <c r="B7" s="4">
        <v>75645</v>
      </c>
      <c r="C7" s="4"/>
    </row>
    <row r="8" spans="1:3" x14ac:dyDescent="0.2">
      <c r="A8" s="3" t="s">
        <v>130</v>
      </c>
      <c r="B8" s="4">
        <v>78653</v>
      </c>
      <c r="C8" s="4"/>
    </row>
    <row r="9" spans="1:3" x14ac:dyDescent="0.2">
      <c r="A9" s="3" t="s">
        <v>131</v>
      </c>
      <c r="B9" s="4">
        <v>79802</v>
      </c>
      <c r="C9" s="4"/>
    </row>
    <row r="10" spans="1:3" x14ac:dyDescent="0.2">
      <c r="A10" s="3" t="s">
        <v>132</v>
      </c>
      <c r="B10" s="4">
        <v>80149</v>
      </c>
      <c r="C10" s="4"/>
    </row>
    <row r="11" spans="1:3" x14ac:dyDescent="0.2">
      <c r="A11" s="3" t="s">
        <v>133</v>
      </c>
      <c r="B11" s="4">
        <v>80094</v>
      </c>
      <c r="C11" s="4"/>
    </row>
    <row r="12" spans="1:3" x14ac:dyDescent="0.2">
      <c r="A12" s="3" t="s">
        <v>134</v>
      </c>
      <c r="B12" s="4">
        <v>83245</v>
      </c>
      <c r="C12" s="4"/>
    </row>
    <row r="13" spans="1:3" x14ac:dyDescent="0.2">
      <c r="A13" s="3" t="s">
        <v>135</v>
      </c>
      <c r="B13" s="4">
        <v>82574</v>
      </c>
      <c r="C13" s="4"/>
    </row>
    <row r="14" spans="1:3" x14ac:dyDescent="0.2">
      <c r="A14" s="3" t="s">
        <v>136</v>
      </c>
      <c r="B14" s="4">
        <v>85945</v>
      </c>
      <c r="C14" s="4"/>
    </row>
    <row r="15" spans="1:3" x14ac:dyDescent="0.2">
      <c r="A15" s="3" t="s">
        <v>137</v>
      </c>
      <c r="B15" s="4">
        <v>83862</v>
      </c>
      <c r="C15" s="4"/>
    </row>
    <row r="16" spans="1:3" x14ac:dyDescent="0.2">
      <c r="A16" s="3" t="s">
        <v>138</v>
      </c>
      <c r="B16" s="4">
        <v>83479</v>
      </c>
      <c r="C16" s="4"/>
    </row>
    <row r="17" spans="1:4" x14ac:dyDescent="0.2">
      <c r="A17" s="3" t="s">
        <v>139</v>
      </c>
      <c r="B17" s="4">
        <v>82843</v>
      </c>
      <c r="C17" s="4"/>
    </row>
    <row r="18" spans="1:4" x14ac:dyDescent="0.2">
      <c r="A18" s="3" t="s">
        <v>140</v>
      </c>
      <c r="B18" s="4">
        <v>81397</v>
      </c>
      <c r="C18" s="4"/>
    </row>
    <row r="19" spans="1:4" x14ac:dyDescent="0.2">
      <c r="A19" s="3" t="s">
        <v>141</v>
      </c>
      <c r="B19" s="4">
        <v>80474</v>
      </c>
      <c r="D19" s="3"/>
    </row>
    <row r="20" spans="1:4" x14ac:dyDescent="0.2">
      <c r="A20" s="3" t="s">
        <v>142</v>
      </c>
      <c r="B20" s="4">
        <v>78279</v>
      </c>
      <c r="C20" s="3"/>
      <c r="D20" s="4"/>
    </row>
    <row r="21" spans="1:4" x14ac:dyDescent="0.2">
      <c r="A21" s="3" t="s">
        <v>143</v>
      </c>
      <c r="B21" s="4">
        <v>74993</v>
      </c>
      <c r="C21" s="3"/>
      <c r="D21" s="4"/>
    </row>
    <row r="22" spans="1:4" x14ac:dyDescent="0.2">
      <c r="A22" s="3" t="s">
        <v>144</v>
      </c>
      <c r="B22" s="4">
        <v>73601</v>
      </c>
      <c r="C22" s="3"/>
      <c r="D22" s="4"/>
    </row>
    <row r="23" spans="1:4" x14ac:dyDescent="0.2">
      <c r="A23" s="3" t="s">
        <v>145</v>
      </c>
      <c r="B23" s="4">
        <v>71699</v>
      </c>
      <c r="C23" s="3"/>
      <c r="D23" s="4"/>
    </row>
    <row r="24" spans="1:4" x14ac:dyDescent="0.2">
      <c r="A24" s="3" t="s">
        <v>146</v>
      </c>
      <c r="B24" s="4">
        <v>69463</v>
      </c>
      <c r="C24" s="3"/>
      <c r="D24" s="4"/>
    </row>
    <row r="25" spans="1:4" x14ac:dyDescent="0.2">
      <c r="A25" s="3" t="s">
        <v>147</v>
      </c>
      <c r="B25" s="4">
        <v>67751</v>
      </c>
      <c r="C25" s="3"/>
      <c r="D25" s="4"/>
    </row>
    <row r="26" spans="1:4" x14ac:dyDescent="0.2">
      <c r="A26" s="3" t="s">
        <v>148</v>
      </c>
      <c r="B26" s="4">
        <v>66443</v>
      </c>
      <c r="C26" s="3"/>
      <c r="D26" s="4"/>
    </row>
    <row r="27" spans="1:4" x14ac:dyDescent="0.2">
      <c r="A27" s="3" t="s">
        <v>149</v>
      </c>
      <c r="B27" s="4">
        <v>67378</v>
      </c>
      <c r="C27" s="3"/>
      <c r="D27" s="4"/>
    </row>
    <row r="28" spans="1:4" x14ac:dyDescent="0.2">
      <c r="A28" s="3" t="s">
        <v>150</v>
      </c>
      <c r="B28" s="4">
        <v>67246</v>
      </c>
      <c r="C28" s="3"/>
      <c r="D28" s="4"/>
    </row>
    <row r="29" spans="1:4" x14ac:dyDescent="0.2">
      <c r="A29" s="3" t="s">
        <v>151</v>
      </c>
      <c r="B29" s="4">
        <v>70908</v>
      </c>
      <c r="C29" s="3"/>
      <c r="D29" s="4"/>
    </row>
    <row r="30" spans="1:4" x14ac:dyDescent="0.2">
      <c r="A30" s="3" t="s">
        <v>152</v>
      </c>
      <c r="B30" s="4">
        <v>71287</v>
      </c>
      <c r="C30" s="3"/>
      <c r="D30" s="4"/>
    </row>
    <row r="31" spans="1:4" x14ac:dyDescent="0.2">
      <c r="A31" s="3" t="s">
        <v>153</v>
      </c>
      <c r="B31" s="4">
        <v>72874</v>
      </c>
      <c r="C31" s="3"/>
      <c r="D31" s="4"/>
    </row>
    <row r="32" spans="1:4" x14ac:dyDescent="0.2">
      <c r="A32" s="3" t="s">
        <v>154</v>
      </c>
      <c r="B32" s="4">
        <v>71976</v>
      </c>
      <c r="C32" s="3"/>
      <c r="D32" s="4"/>
    </row>
    <row r="33" spans="1:4" x14ac:dyDescent="0.2">
      <c r="A33" s="3" t="s">
        <v>155</v>
      </c>
      <c r="B33" s="4">
        <v>76776</v>
      </c>
      <c r="C33" s="3"/>
      <c r="D33" s="4"/>
    </row>
    <row r="34" spans="1:4" x14ac:dyDescent="0.2">
      <c r="A34" s="3" t="s">
        <v>156</v>
      </c>
      <c r="B34" s="4">
        <v>79943</v>
      </c>
      <c r="C34" s="3"/>
      <c r="D34" s="4"/>
    </row>
    <row r="35" spans="1:4" x14ac:dyDescent="0.2">
      <c r="A35" s="3" t="s">
        <v>157</v>
      </c>
      <c r="B35" s="4">
        <v>77844</v>
      </c>
      <c r="C35" s="3"/>
      <c r="D35" s="4"/>
    </row>
    <row r="36" spans="1:4" x14ac:dyDescent="0.2">
      <c r="A36" s="3" t="s">
        <v>158</v>
      </c>
      <c r="B36" s="4">
        <v>78393</v>
      </c>
      <c r="C36" s="3"/>
      <c r="D36" s="4"/>
    </row>
    <row r="37" spans="1:4" x14ac:dyDescent="0.2">
      <c r="A37" s="3" t="s">
        <v>159</v>
      </c>
      <c r="B37" s="4">
        <v>81964</v>
      </c>
      <c r="C37" s="3"/>
      <c r="D37" s="4"/>
    </row>
    <row r="38" spans="1:4" x14ac:dyDescent="0.2">
      <c r="A38" s="3" t="s">
        <v>160</v>
      </c>
      <c r="B38" s="4">
        <v>78115</v>
      </c>
      <c r="C38" s="3"/>
      <c r="D38" s="4"/>
    </row>
    <row r="39" spans="1:4" x14ac:dyDescent="0.2">
      <c r="A39" s="3" t="s">
        <v>161</v>
      </c>
      <c r="B39" s="4">
        <v>75610</v>
      </c>
      <c r="C39" s="3"/>
      <c r="D39" s="4"/>
    </row>
    <row r="40" spans="1:4" x14ac:dyDescent="0.2">
      <c r="A40" s="3" t="s">
        <v>162</v>
      </c>
      <c r="B40" s="4">
        <v>75685</v>
      </c>
      <c r="C40" s="3"/>
      <c r="D40" s="4"/>
    </row>
    <row r="41" spans="1:4" x14ac:dyDescent="0.2">
      <c r="A41" s="3" t="s">
        <v>163</v>
      </c>
      <c r="B41" s="4">
        <v>79017</v>
      </c>
      <c r="C41" s="3"/>
      <c r="D41" s="4"/>
    </row>
    <row r="42" spans="1:4" x14ac:dyDescent="0.2">
      <c r="A42" s="3" t="s">
        <v>164</v>
      </c>
      <c r="B42" s="4">
        <v>85363</v>
      </c>
      <c r="C42" s="3"/>
      <c r="D42" s="4"/>
    </row>
    <row r="43" spans="1:4" x14ac:dyDescent="0.2">
      <c r="A43" s="3" t="s">
        <v>165</v>
      </c>
      <c r="B43" s="4">
        <v>86527</v>
      </c>
      <c r="C43" s="3"/>
      <c r="D43" s="4"/>
    </row>
    <row r="44" spans="1:4" x14ac:dyDescent="0.2">
      <c r="A44" s="3" t="s">
        <v>166</v>
      </c>
      <c r="B44" s="4">
        <v>83713</v>
      </c>
      <c r="C44" s="3"/>
      <c r="D44" s="4"/>
    </row>
    <row r="45" spans="1:4" x14ac:dyDescent="0.2">
      <c r="A45" s="3" t="s">
        <v>167</v>
      </c>
      <c r="B45" s="4">
        <v>81034</v>
      </c>
      <c r="C45" s="3"/>
      <c r="D45" s="4"/>
    </row>
    <row r="46" spans="1:4" x14ac:dyDescent="0.2">
      <c r="A46" s="3" t="s">
        <v>168</v>
      </c>
      <c r="B46" s="4">
        <v>77407</v>
      </c>
      <c r="C46" s="3"/>
      <c r="D46" s="4"/>
    </row>
    <row r="47" spans="1:4" x14ac:dyDescent="0.2">
      <c r="A47" s="3" t="s">
        <v>169</v>
      </c>
      <c r="B47" s="4">
        <v>74397</v>
      </c>
      <c r="C47" s="3"/>
      <c r="D47" s="4"/>
    </row>
    <row r="48" spans="1:4" x14ac:dyDescent="0.2">
      <c r="A48" s="3" t="s">
        <v>170</v>
      </c>
      <c r="B48" s="4">
        <v>71086</v>
      </c>
      <c r="C48" s="3"/>
      <c r="D48" s="4"/>
    </row>
    <row r="49" spans="1:4" x14ac:dyDescent="0.2">
      <c r="A49" s="3" t="s">
        <v>171</v>
      </c>
      <c r="B49" s="4">
        <v>69736</v>
      </c>
      <c r="C49" s="3"/>
      <c r="D49" s="4"/>
    </row>
    <row r="50" spans="1:4" x14ac:dyDescent="0.2">
      <c r="A50" s="3" t="s">
        <v>172</v>
      </c>
      <c r="B50" s="4">
        <v>67280</v>
      </c>
      <c r="C50" s="3"/>
      <c r="D50" s="4"/>
    </row>
    <row r="51" spans="1:4" x14ac:dyDescent="0.2">
      <c r="A51" s="3" t="s">
        <v>173</v>
      </c>
      <c r="B51" s="4">
        <v>66263</v>
      </c>
      <c r="C51" s="3"/>
      <c r="D51" s="4"/>
    </row>
    <row r="52" spans="1:4" x14ac:dyDescent="0.2">
      <c r="A52" s="3" t="s">
        <v>174</v>
      </c>
      <c r="B52" s="4">
        <v>64793</v>
      </c>
      <c r="C52" s="3"/>
      <c r="D52" s="4"/>
    </row>
    <row r="53" spans="1:4" x14ac:dyDescent="0.2">
      <c r="A53" s="3" t="s">
        <v>175</v>
      </c>
      <c r="B53" s="4">
        <v>64103</v>
      </c>
      <c r="C53" s="3"/>
      <c r="D53" s="4"/>
    </row>
    <row r="54" spans="1:4" x14ac:dyDescent="0.2">
      <c r="A54" s="3" t="s">
        <v>176</v>
      </c>
      <c r="B54" s="4">
        <v>62267</v>
      </c>
      <c r="C54" s="3"/>
      <c r="D54" s="4"/>
    </row>
    <row r="55" spans="1:4" x14ac:dyDescent="0.2">
      <c r="A55" s="3" t="s">
        <v>177</v>
      </c>
      <c r="B55" s="4">
        <v>60042</v>
      </c>
      <c r="C55" s="3"/>
      <c r="D55" s="4"/>
    </row>
    <row r="56" spans="1:4" x14ac:dyDescent="0.2">
      <c r="A56" s="3" t="s">
        <v>178</v>
      </c>
      <c r="B56" s="4">
        <v>60730</v>
      </c>
      <c r="C56" s="3"/>
      <c r="D56" s="4"/>
    </row>
    <row r="57" spans="1:4" x14ac:dyDescent="0.2">
      <c r="A57" s="3" t="s">
        <v>179</v>
      </c>
      <c r="B57" s="4">
        <v>56563</v>
      </c>
      <c r="C57" s="3"/>
      <c r="D57" s="4"/>
    </row>
    <row r="58" spans="1:4" x14ac:dyDescent="0.2">
      <c r="A58" s="3" t="s">
        <v>180</v>
      </c>
      <c r="B58" s="4">
        <v>55929</v>
      </c>
      <c r="C58" s="3"/>
      <c r="D58" s="4"/>
    </row>
    <row r="59" spans="1:4" x14ac:dyDescent="0.2">
      <c r="A59" s="3" t="s">
        <v>181</v>
      </c>
      <c r="B59" s="4">
        <v>56201</v>
      </c>
      <c r="C59" s="3"/>
      <c r="D59" s="4"/>
    </row>
    <row r="60" spans="1:4" x14ac:dyDescent="0.2">
      <c r="A60" s="3" t="s">
        <v>182</v>
      </c>
      <c r="B60" s="4">
        <v>55338</v>
      </c>
      <c r="C60" s="3"/>
      <c r="D60" s="4"/>
    </row>
    <row r="61" spans="1:4" x14ac:dyDescent="0.2">
      <c r="A61" s="3" t="s">
        <v>183</v>
      </c>
      <c r="B61" s="4">
        <v>56131</v>
      </c>
      <c r="C61" s="3"/>
      <c r="D61" s="4"/>
    </row>
    <row r="62" spans="1:4" x14ac:dyDescent="0.2">
      <c r="A62" s="3" t="s">
        <v>184</v>
      </c>
      <c r="B62" s="4">
        <v>58349</v>
      </c>
      <c r="C62" s="3"/>
      <c r="D62" s="4"/>
    </row>
    <row r="63" spans="1:4" x14ac:dyDescent="0.2">
      <c r="A63" s="3" t="s">
        <v>185</v>
      </c>
      <c r="B63" s="4">
        <v>56798</v>
      </c>
      <c r="C63" s="3"/>
      <c r="D63" s="4"/>
    </row>
    <row r="64" spans="1:4" x14ac:dyDescent="0.2">
      <c r="A64" s="3" t="s">
        <v>186</v>
      </c>
      <c r="B64" s="4">
        <v>51576</v>
      </c>
      <c r="C64" s="3"/>
      <c r="D64" s="4"/>
    </row>
    <row r="65" spans="1:4" x14ac:dyDescent="0.2">
      <c r="A65" s="3" t="s">
        <v>187</v>
      </c>
      <c r="B65" s="4">
        <v>46099</v>
      </c>
      <c r="C65" s="3"/>
      <c r="D65" s="4"/>
    </row>
    <row r="66" spans="1:4" x14ac:dyDescent="0.2">
      <c r="A66" s="3" t="s">
        <v>188</v>
      </c>
      <c r="B66" s="4">
        <v>40230</v>
      </c>
      <c r="C66" s="3"/>
      <c r="D66" s="4"/>
    </row>
    <row r="67" spans="1:4" x14ac:dyDescent="0.2">
      <c r="A67" s="3" t="s">
        <v>189</v>
      </c>
      <c r="B67" s="4">
        <v>35309</v>
      </c>
      <c r="C67" s="3"/>
      <c r="D67" s="4"/>
    </row>
    <row r="68" spans="1:4" x14ac:dyDescent="0.2">
      <c r="A68" s="3" t="s">
        <v>190</v>
      </c>
      <c r="B68" s="4">
        <v>29561</v>
      </c>
      <c r="C68" s="3"/>
      <c r="D68" s="4"/>
    </row>
    <row r="69" spans="1:4" x14ac:dyDescent="0.2">
      <c r="A69" s="3" t="s">
        <v>191</v>
      </c>
      <c r="B69" s="4">
        <v>27033</v>
      </c>
      <c r="C69" s="3"/>
      <c r="D69" s="4"/>
    </row>
    <row r="70" spans="1:4" x14ac:dyDescent="0.2">
      <c r="A70" s="3" t="s">
        <v>192</v>
      </c>
      <c r="B70" s="4">
        <v>23540</v>
      </c>
      <c r="C70" s="3"/>
      <c r="D70" s="4"/>
    </row>
    <row r="71" spans="1:4" x14ac:dyDescent="0.2">
      <c r="A71" s="3" t="s">
        <v>193</v>
      </c>
      <c r="B71" s="4">
        <v>20655</v>
      </c>
      <c r="C71" s="3"/>
      <c r="D71" s="4"/>
    </row>
    <row r="72" spans="1:4" x14ac:dyDescent="0.2">
      <c r="A72" s="3" t="s">
        <v>194</v>
      </c>
      <c r="B72" s="4">
        <v>17528</v>
      </c>
      <c r="C72" s="3"/>
      <c r="D72" s="4"/>
    </row>
    <row r="73" spans="1:4" x14ac:dyDescent="0.2">
      <c r="A73" s="3" t="s">
        <v>195</v>
      </c>
      <c r="B73" s="4">
        <v>14244</v>
      </c>
      <c r="C73" s="3"/>
      <c r="D73" s="4"/>
    </row>
    <row r="74" spans="1:4" x14ac:dyDescent="0.2">
      <c r="A74" s="3" t="s">
        <v>196</v>
      </c>
      <c r="B74" s="4">
        <v>11766</v>
      </c>
      <c r="C74" s="3"/>
      <c r="D74" s="4"/>
    </row>
    <row r="75" spans="1:4" x14ac:dyDescent="0.2">
      <c r="A75" s="3" t="s">
        <v>197</v>
      </c>
      <c r="B75" s="4">
        <v>9266</v>
      </c>
      <c r="C75" s="3"/>
      <c r="D75" s="4"/>
    </row>
    <row r="76" spans="1:4" x14ac:dyDescent="0.2">
      <c r="A76" s="3" t="s">
        <v>198</v>
      </c>
      <c r="B76" s="4">
        <v>7221</v>
      </c>
      <c r="C76" s="3"/>
      <c r="D76" s="4"/>
    </row>
    <row r="77" spans="1:4" x14ac:dyDescent="0.2">
      <c r="A77" s="3" t="s">
        <v>199</v>
      </c>
      <c r="B77" s="4">
        <v>5629</v>
      </c>
      <c r="C77" s="3"/>
      <c r="D77" s="4"/>
    </row>
    <row r="78" spans="1:4" x14ac:dyDescent="0.2">
      <c r="A78" s="3" t="s">
        <v>200</v>
      </c>
      <c r="B78" s="4">
        <v>4306</v>
      </c>
      <c r="C78" s="3"/>
      <c r="D78" s="4"/>
    </row>
    <row r="79" spans="1:4" x14ac:dyDescent="0.2">
      <c r="A79" s="3" t="s">
        <v>201</v>
      </c>
      <c r="B79" s="4">
        <v>3204</v>
      </c>
      <c r="C79" s="3"/>
      <c r="D79" s="4"/>
    </row>
    <row r="80" spans="1:4" x14ac:dyDescent="0.2">
      <c r="A80" s="3" t="s">
        <v>202</v>
      </c>
      <c r="B80" s="4">
        <v>2419</v>
      </c>
      <c r="C80" s="3"/>
      <c r="D80" s="4"/>
    </row>
    <row r="81" spans="1:4" x14ac:dyDescent="0.2">
      <c r="A81" s="3" t="s">
        <v>203</v>
      </c>
      <c r="B81" s="4">
        <v>1658</v>
      </c>
      <c r="C81" s="3"/>
      <c r="D81" s="4"/>
    </row>
    <row r="82" spans="1:4" x14ac:dyDescent="0.2">
      <c r="A82" s="3" t="s">
        <v>204</v>
      </c>
      <c r="B82" s="4">
        <v>1173</v>
      </c>
      <c r="C82" s="3"/>
      <c r="D82" s="4"/>
    </row>
    <row r="83" spans="1:4" x14ac:dyDescent="0.2">
      <c r="A83" s="3" t="s">
        <v>205</v>
      </c>
      <c r="B83" s="4">
        <v>816</v>
      </c>
      <c r="C83" s="3"/>
      <c r="D83" s="4"/>
    </row>
    <row r="84" spans="1:4" x14ac:dyDescent="0.2">
      <c r="A84" s="3" t="s">
        <v>206</v>
      </c>
      <c r="B84" s="4">
        <v>498</v>
      </c>
      <c r="C84" s="3"/>
      <c r="D84" s="4"/>
    </row>
    <row r="85" spans="1:4" x14ac:dyDescent="0.2">
      <c r="A85" s="3" t="s">
        <v>207</v>
      </c>
      <c r="B85" s="4">
        <v>320</v>
      </c>
      <c r="C85" s="3"/>
      <c r="D85" s="4"/>
    </row>
    <row r="86" spans="1:4" x14ac:dyDescent="0.2">
      <c r="A86" s="3" t="s">
        <v>208</v>
      </c>
      <c r="B86" s="4">
        <v>201</v>
      </c>
      <c r="C86" s="3"/>
      <c r="D86" s="4"/>
    </row>
    <row r="87" spans="1:4" x14ac:dyDescent="0.2">
      <c r="A87" s="3" t="s">
        <v>209</v>
      </c>
      <c r="B87" s="4">
        <v>86</v>
      </c>
      <c r="C87" s="3"/>
      <c r="D87" s="4"/>
    </row>
    <row r="88" spans="1:4" x14ac:dyDescent="0.2">
      <c r="A88" s="3" t="s">
        <v>210</v>
      </c>
      <c r="B88" s="4">
        <v>56</v>
      </c>
      <c r="C88" s="3"/>
      <c r="D88" s="4"/>
    </row>
    <row r="89" spans="1:4" x14ac:dyDescent="0.2">
      <c r="A89" s="3" t="s">
        <v>211</v>
      </c>
      <c r="B89" s="4">
        <v>34</v>
      </c>
      <c r="C89" s="3"/>
      <c r="D89" s="4"/>
    </row>
    <row r="90" spans="1:4" x14ac:dyDescent="0.2">
      <c r="A90" s="3" t="s">
        <v>212</v>
      </c>
      <c r="B90" s="4">
        <v>9</v>
      </c>
      <c r="C90" s="3"/>
      <c r="D90" s="4"/>
    </row>
    <row r="91" spans="1:4" x14ac:dyDescent="0.2">
      <c r="A91" s="3" t="s">
        <v>213</v>
      </c>
      <c r="B91" s="4">
        <v>8</v>
      </c>
      <c r="C91" s="3"/>
      <c r="D91" s="4"/>
    </row>
    <row r="92" spans="1:4" x14ac:dyDescent="0.2">
      <c r="A92" s="3" t="s">
        <v>214</v>
      </c>
      <c r="B92" s="4">
        <v>0</v>
      </c>
      <c r="C92" s="3"/>
      <c r="D92" s="4"/>
    </row>
    <row r="93" spans="1:4" x14ac:dyDescent="0.2">
      <c r="A93" s="3" t="s">
        <v>215</v>
      </c>
      <c r="B93" s="4">
        <v>4</v>
      </c>
      <c r="C93" s="3"/>
      <c r="D93" s="4"/>
    </row>
    <row r="94" spans="1:4" x14ac:dyDescent="0.2">
      <c r="A94" s="3" t="s">
        <v>216</v>
      </c>
      <c r="B94" s="4">
        <v>1</v>
      </c>
      <c r="C94" s="3"/>
      <c r="D94" s="4"/>
    </row>
    <row r="95" spans="1:4" x14ac:dyDescent="0.2">
      <c r="A95" s="3" t="s">
        <v>217</v>
      </c>
      <c r="B95" s="4">
        <v>1</v>
      </c>
      <c r="C95" s="3"/>
      <c r="D95" s="4"/>
    </row>
    <row r="96" spans="1:4" x14ac:dyDescent="0.2">
      <c r="A96" s="3" t="s">
        <v>3</v>
      </c>
      <c r="B96" s="4">
        <f>SUM(B2:B95)</f>
        <v>4873198</v>
      </c>
      <c r="C96" s="3"/>
      <c r="D96" s="4"/>
    </row>
    <row r="97" spans="1:4" x14ac:dyDescent="0.2">
      <c r="A97" s="3"/>
      <c r="B97" s="4"/>
      <c r="C97" s="3"/>
      <c r="D97" s="4"/>
    </row>
    <row r="98" spans="1:4" x14ac:dyDescent="0.2">
      <c r="A98" s="3"/>
      <c r="B98" s="4"/>
      <c r="C98" s="3"/>
      <c r="D98" s="4"/>
    </row>
    <row r="99" spans="1:4" x14ac:dyDescent="0.2">
      <c r="A99" s="3"/>
      <c r="B99" s="4"/>
      <c r="C99" s="3"/>
      <c r="D99" s="4"/>
    </row>
    <row r="100" spans="1:4" x14ac:dyDescent="0.2">
      <c r="A100" s="3"/>
      <c r="B100" s="4"/>
      <c r="C100" s="3"/>
      <c r="D100" s="4"/>
    </row>
    <row r="101" spans="1:4" x14ac:dyDescent="0.2">
      <c r="A101" s="3"/>
      <c r="B101" s="4"/>
      <c r="C101" s="3"/>
      <c r="D101" s="4"/>
    </row>
    <row r="102" spans="1:4" x14ac:dyDescent="0.2">
      <c r="A102" s="3"/>
      <c r="B102" s="4"/>
      <c r="C102" s="3"/>
      <c r="D102" s="4"/>
    </row>
    <row r="103" spans="1:4" x14ac:dyDescent="0.2">
      <c r="A103" s="3"/>
      <c r="B103" s="4"/>
      <c r="C103" s="3"/>
      <c r="D103" s="4"/>
    </row>
    <row r="104" spans="1:4" x14ac:dyDescent="0.2">
      <c r="A104" s="3"/>
      <c r="B104" s="4"/>
      <c r="C104" s="3"/>
      <c r="D104" s="4"/>
    </row>
    <row r="105" spans="1:4" x14ac:dyDescent="0.2">
      <c r="A105" s="3"/>
      <c r="B105" s="4"/>
      <c r="C105" s="3"/>
      <c r="D105" s="4"/>
    </row>
    <row r="106" spans="1:4" x14ac:dyDescent="0.2">
      <c r="A106" s="3"/>
      <c r="B106" s="4"/>
      <c r="C106" s="3"/>
      <c r="D106" s="4"/>
    </row>
    <row r="107" spans="1:4" x14ac:dyDescent="0.2">
      <c r="A107" s="3"/>
      <c r="B107" s="4"/>
      <c r="C107" s="3"/>
      <c r="D107" s="4"/>
    </row>
    <row r="108" spans="1:4" x14ac:dyDescent="0.2">
      <c r="A108" s="3"/>
      <c r="B108" s="4"/>
      <c r="C108" s="3"/>
      <c r="D108" s="4"/>
    </row>
    <row r="109" spans="1:4" x14ac:dyDescent="0.2">
      <c r="A109" s="3"/>
      <c r="B109" s="4"/>
      <c r="C109" s="3"/>
      <c r="D109" s="4"/>
    </row>
    <row r="110" spans="1:4" x14ac:dyDescent="0.2">
      <c r="A110" s="3"/>
      <c r="B110" s="4"/>
      <c r="C110" s="3"/>
      <c r="D110" s="4"/>
    </row>
    <row r="111" spans="1:4" x14ac:dyDescent="0.2">
      <c r="A111" s="3"/>
      <c r="B111" s="4"/>
      <c r="C111" s="3"/>
      <c r="D111" s="4"/>
    </row>
    <row r="112" spans="1:4" x14ac:dyDescent="0.2">
      <c r="A112" s="3"/>
      <c r="B112" s="4"/>
      <c r="C112" s="3"/>
      <c r="D112" s="4"/>
    </row>
    <row r="113" spans="1:4" x14ac:dyDescent="0.2">
      <c r="A113" s="3"/>
      <c r="B113" s="4"/>
      <c r="C113" s="3"/>
      <c r="D113" s="4"/>
    </row>
    <row r="114" spans="1:4" ht="17" x14ac:dyDescent="0.2">
      <c r="A114" s="1"/>
      <c r="C114" s="3"/>
      <c r="D114" s="4"/>
    </row>
    <row r="115" spans="1:4" x14ac:dyDescent="0.2">
      <c r="A115" s="2"/>
      <c r="C115" s="3"/>
      <c r="D115" s="4"/>
    </row>
    <row r="116" spans="1:4" x14ac:dyDescent="0.2">
      <c r="A116" s="5"/>
      <c r="C116" s="3"/>
      <c r="D116" s="4"/>
    </row>
    <row r="117" spans="1:4" x14ac:dyDescent="0.2">
      <c r="C117" s="3"/>
      <c r="D117" s="4"/>
    </row>
    <row r="118" spans="1:4" x14ac:dyDescent="0.2">
      <c r="C118" s="3"/>
      <c r="D118" s="4"/>
    </row>
    <row r="119" spans="1:4" x14ac:dyDescent="0.2">
      <c r="C119" s="3"/>
      <c r="D119" s="4"/>
    </row>
    <row r="120" spans="1:4" x14ac:dyDescent="0.2">
      <c r="C120" s="3"/>
      <c r="D120" s="4"/>
    </row>
    <row r="121" spans="1:4" x14ac:dyDescent="0.2">
      <c r="C121" s="3"/>
      <c r="D121" s="4"/>
    </row>
    <row r="122" spans="1:4" x14ac:dyDescent="0.2">
      <c r="C122" s="3"/>
      <c r="D122" s="4"/>
    </row>
    <row r="123" spans="1:4" x14ac:dyDescent="0.2">
      <c r="C123" s="3"/>
      <c r="D123" s="4"/>
    </row>
    <row r="124" spans="1:4" x14ac:dyDescent="0.2">
      <c r="C124" s="3"/>
      <c r="D124" s="4"/>
    </row>
    <row r="125" spans="1:4" x14ac:dyDescent="0.2">
      <c r="C125" s="3"/>
      <c r="D125" s="4"/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566B-F2FC-3F46-8083-7EAD611FA6AA}">
  <dimension ref="A1:G34"/>
  <sheetViews>
    <sheetView workbookViewId="0">
      <selection activeCell="D11" sqref="D11"/>
    </sheetView>
  </sheetViews>
  <sheetFormatPr baseColWidth="10" defaultRowHeight="15" x14ac:dyDescent="0.2"/>
  <sheetData>
    <row r="1" spans="1:7" x14ac:dyDescent="0.2">
      <c r="A1" t="s">
        <v>4</v>
      </c>
      <c r="B1" t="s">
        <v>1</v>
      </c>
      <c r="C1" t="s">
        <v>2</v>
      </c>
    </row>
    <row r="2" spans="1:7" x14ac:dyDescent="0.2">
      <c r="A2" t="s">
        <v>5</v>
      </c>
      <c r="B2">
        <v>2469329</v>
      </c>
      <c r="C2" s="6">
        <f>B2/B4</f>
        <v>0.50671632878450656</v>
      </c>
    </row>
    <row r="3" spans="1:7" x14ac:dyDescent="0.2">
      <c r="A3" t="s">
        <v>6</v>
      </c>
      <c r="B3">
        <v>2403869</v>
      </c>
      <c r="C3" s="6">
        <f>B3/B4</f>
        <v>0.49328367121549338</v>
      </c>
    </row>
    <row r="4" spans="1:7" x14ac:dyDescent="0.2">
      <c r="A4" t="s">
        <v>3</v>
      </c>
      <c r="B4">
        <f>SUM(B2:B3)</f>
        <v>4873198</v>
      </c>
      <c r="C4" s="6">
        <f>B4/B4</f>
        <v>1</v>
      </c>
    </row>
    <row r="15" spans="1:7" x14ac:dyDescent="0.2">
      <c r="F15" s="3"/>
      <c r="G15" s="3"/>
    </row>
    <row r="16" spans="1:7" x14ac:dyDescent="0.2">
      <c r="E16" s="3"/>
      <c r="F16" s="4"/>
      <c r="G16" s="4"/>
    </row>
    <row r="17" spans="5:7" x14ac:dyDescent="0.2">
      <c r="E17" s="3"/>
      <c r="F17" s="4"/>
      <c r="G17" s="4"/>
    </row>
    <row r="18" spans="5:7" x14ac:dyDescent="0.2">
      <c r="E18" s="3"/>
      <c r="F18" s="4"/>
      <c r="G18" s="4"/>
    </row>
    <row r="19" spans="5:7" x14ac:dyDescent="0.2">
      <c r="E19" s="3"/>
      <c r="F19" s="4"/>
      <c r="G19" s="4"/>
    </row>
    <row r="20" spans="5:7" x14ac:dyDescent="0.2">
      <c r="E20" s="3"/>
      <c r="F20" s="4"/>
      <c r="G20" s="4"/>
    </row>
    <row r="21" spans="5:7" x14ac:dyDescent="0.2">
      <c r="E21" s="3"/>
      <c r="F21" s="4"/>
      <c r="G21" s="4"/>
    </row>
    <row r="22" spans="5:7" x14ac:dyDescent="0.2">
      <c r="E22" s="3"/>
      <c r="F22" s="4"/>
      <c r="G22" s="4"/>
    </row>
    <row r="23" spans="5:7" x14ac:dyDescent="0.2">
      <c r="E23" s="3"/>
      <c r="F23" s="4"/>
      <c r="G23" s="4"/>
    </row>
    <row r="24" spans="5:7" x14ac:dyDescent="0.2">
      <c r="E24" s="3"/>
      <c r="F24" s="4"/>
      <c r="G24" s="4"/>
    </row>
    <row r="25" spans="5:7" x14ac:dyDescent="0.2">
      <c r="E25" s="3"/>
      <c r="F25" s="4"/>
      <c r="G25" s="4"/>
    </row>
    <row r="26" spans="5:7" x14ac:dyDescent="0.2">
      <c r="E26" s="3"/>
      <c r="F26" s="4"/>
      <c r="G26" s="4"/>
    </row>
    <row r="27" spans="5:7" x14ac:dyDescent="0.2">
      <c r="E27" s="3"/>
      <c r="F27" s="4"/>
      <c r="G27" s="4"/>
    </row>
    <row r="28" spans="5:7" x14ac:dyDescent="0.2">
      <c r="E28" s="3"/>
      <c r="F28" s="4"/>
      <c r="G28" s="4"/>
    </row>
    <row r="29" spans="5:7" x14ac:dyDescent="0.2">
      <c r="E29" s="3"/>
      <c r="F29" s="4"/>
      <c r="G29" s="4"/>
    </row>
    <row r="30" spans="5:7" x14ac:dyDescent="0.2">
      <c r="E30" s="3"/>
      <c r="F30" s="4"/>
      <c r="G30" s="4"/>
    </row>
    <row r="31" spans="5:7" x14ac:dyDescent="0.2">
      <c r="E31" s="3"/>
      <c r="F31" s="4"/>
      <c r="G31" s="4"/>
    </row>
    <row r="32" spans="5:7" x14ac:dyDescent="0.2">
      <c r="E32" s="3"/>
      <c r="F32" s="4"/>
      <c r="G32" s="4"/>
    </row>
    <row r="33" spans="5:7" x14ac:dyDescent="0.2">
      <c r="E33" s="3"/>
      <c r="F33" s="4"/>
      <c r="G33" s="4"/>
    </row>
    <row r="34" spans="5:7" x14ac:dyDescent="0.2">
      <c r="E34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AFFF-1A87-3E41-A7ED-8A0BA5EDFB39}">
  <dimension ref="A1:DB101"/>
  <sheetViews>
    <sheetView topLeftCell="A93" zoomScale="89" zoomScaleNormal="89" workbookViewId="0">
      <selection activeCell="A2" sqref="A2"/>
    </sheetView>
  </sheetViews>
  <sheetFormatPr baseColWidth="10" defaultRowHeight="15" x14ac:dyDescent="0.2"/>
  <cols>
    <col min="1" max="1" width="12" customWidth="1"/>
    <col min="2" max="2" width="10.83203125" customWidth="1"/>
    <col min="3" max="3" width="22.6640625" customWidth="1"/>
    <col min="7" max="7" width="11.6640625" customWidth="1"/>
    <col min="8" max="8" width="13" customWidth="1"/>
    <col min="9" max="9" width="14.6640625" customWidth="1"/>
    <col min="12" max="12" width="13.33203125" customWidth="1"/>
    <col min="20" max="20" width="14.6640625" customWidth="1"/>
    <col min="22" max="22" width="16.1640625" customWidth="1"/>
    <col min="24" max="24" width="13" customWidth="1"/>
    <col min="27" max="27" width="13.83203125" customWidth="1"/>
    <col min="28" max="28" width="15.33203125" customWidth="1"/>
    <col min="32" max="32" width="11.33203125" customWidth="1"/>
    <col min="34" max="34" width="11.6640625" customWidth="1"/>
    <col min="35" max="36" width="12" customWidth="1"/>
    <col min="37" max="37" width="12.83203125" customWidth="1"/>
    <col min="44" max="44" width="15.33203125" customWidth="1"/>
    <col min="46" max="46" width="13" customWidth="1"/>
    <col min="49" max="49" width="12.5" customWidth="1"/>
    <col min="54" max="54" width="13.6640625" customWidth="1"/>
    <col min="56" max="56" width="16.6640625" customWidth="1"/>
    <col min="57" max="57" width="13.6640625" customWidth="1"/>
    <col min="58" max="58" width="12" customWidth="1"/>
    <col min="59" max="59" width="12.1640625" customWidth="1"/>
    <col min="60" max="60" width="11.1640625" customWidth="1"/>
    <col min="63" max="63" width="12.1640625" customWidth="1"/>
    <col min="68" max="69" width="11.6640625" customWidth="1"/>
    <col min="71" max="71" width="13" customWidth="1"/>
    <col min="76" max="76" width="11.1640625" customWidth="1"/>
    <col min="78" max="78" width="12.83203125" customWidth="1"/>
    <col min="80" max="80" width="12" customWidth="1"/>
    <col min="84" max="84" width="11.1640625" customWidth="1"/>
    <col min="85" max="85" width="13.6640625" customWidth="1"/>
    <col min="89" max="89" width="11.6640625" customWidth="1"/>
    <col min="90" max="90" width="13.6640625" customWidth="1"/>
    <col min="92" max="92" width="18.33203125" customWidth="1"/>
    <col min="96" max="96" width="13.6640625" customWidth="1"/>
    <col min="97" max="97" width="15" customWidth="1"/>
    <col min="99" max="99" width="13.6640625" customWidth="1"/>
    <col min="101" max="101" width="14.5" customWidth="1"/>
    <col min="105" max="105" width="18.33203125" customWidth="1"/>
  </cols>
  <sheetData>
    <row r="1" spans="1:106" x14ac:dyDescent="0.2">
      <c r="A1" t="s">
        <v>112</v>
      </c>
      <c r="B1" t="s">
        <v>1</v>
      </c>
      <c r="C1" t="s">
        <v>2</v>
      </c>
    </row>
    <row r="2" spans="1:106" x14ac:dyDescent="0.2">
      <c r="A2" s="7" t="s">
        <v>13</v>
      </c>
      <c r="B2">
        <v>558671</v>
      </c>
      <c r="C2" s="6">
        <f>Tabel7[[#This Row],[antal]]/B101</f>
        <v>0.11464155570941299</v>
      </c>
    </row>
    <row r="3" spans="1:106" x14ac:dyDescent="0.2">
      <c r="A3" s="7" t="s">
        <v>14</v>
      </c>
      <c r="B3">
        <v>88801</v>
      </c>
      <c r="C3" s="6">
        <f>Tabel7[[#This Row],[antal]]/B101</f>
        <v>1.8222325462663325E-2</v>
      </c>
    </row>
    <row r="4" spans="1:106" x14ac:dyDescent="0.2">
      <c r="A4" s="7" t="s">
        <v>15</v>
      </c>
      <c r="B4">
        <v>11151</v>
      </c>
      <c r="C4" s="6">
        <f>Tabel7[[#This Row],[antal]]/B101</f>
        <v>2.2882304392310756E-3</v>
      </c>
    </row>
    <row r="5" spans="1:106" x14ac:dyDescent="0.2">
      <c r="A5" s="7" t="s">
        <v>16</v>
      </c>
      <c r="B5">
        <v>34515</v>
      </c>
      <c r="C5" s="6">
        <f>Tabel7[[#This Row],[antal]]/B101</f>
        <v>7.0826180261914246E-3</v>
      </c>
    </row>
    <row r="6" spans="1:106" x14ac:dyDescent="0.2">
      <c r="A6" s="7" t="s">
        <v>17</v>
      </c>
      <c r="B6">
        <v>22962</v>
      </c>
      <c r="C6" s="6">
        <f>Tabel7[[#This Row],[antal]]/B101</f>
        <v>4.7118955560599019E-3</v>
      </c>
    </row>
    <row r="7" spans="1:106" x14ac:dyDescent="0.2">
      <c r="A7" s="7" t="s">
        <v>18</v>
      </c>
      <c r="B7">
        <v>42609</v>
      </c>
      <c r="C7" s="6">
        <f>Tabel7[[#This Row],[antal]]/B101</f>
        <v>8.7435396632765585E-3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</row>
    <row r="8" spans="1:106" x14ac:dyDescent="0.2">
      <c r="A8" s="7" t="s">
        <v>19</v>
      </c>
      <c r="B8">
        <v>32337</v>
      </c>
      <c r="C8" s="6">
        <f>Tabel7[[#This Row],[antal]]/B101</f>
        <v>6.6356835901188503E-3</v>
      </c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</row>
    <row r="9" spans="1:106" x14ac:dyDescent="0.2">
      <c r="A9" s="7" t="s">
        <v>20</v>
      </c>
      <c r="B9">
        <v>59344</v>
      </c>
      <c r="C9" s="6">
        <f>Tabel7[[#This Row],[antal]]/B101</f>
        <v>1.2177629556607386E-2</v>
      </c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</row>
    <row r="10" spans="1:106" x14ac:dyDescent="0.2">
      <c r="A10" s="7" t="s">
        <v>21</v>
      </c>
      <c r="B10">
        <v>55543</v>
      </c>
      <c r="C10" s="6">
        <f>Tabel7[[#This Row],[antal]]/B101</f>
        <v>1.1397648936078525E-2</v>
      </c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</row>
    <row r="11" spans="1:106" x14ac:dyDescent="0.2">
      <c r="A11" s="7" t="s">
        <v>22</v>
      </c>
      <c r="B11">
        <v>20728</v>
      </c>
      <c r="C11" s="6">
        <f>Tabel7[[#This Row],[antal]]/B101</f>
        <v>4.2534696927972147E-3</v>
      </c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</row>
    <row r="12" spans="1:106" x14ac:dyDescent="0.2">
      <c r="A12" s="7" t="s">
        <v>23</v>
      </c>
      <c r="B12">
        <v>25115</v>
      </c>
      <c r="C12" s="6">
        <f>Tabel7[[#This Row],[antal]]/B101</f>
        <v>5.153699890708319E-3</v>
      </c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</row>
    <row r="13" spans="1:106" x14ac:dyDescent="0.2">
      <c r="A13" s="7" t="s">
        <v>24</v>
      </c>
      <c r="B13">
        <v>42261</v>
      </c>
      <c r="C13" s="6">
        <f>Tabel7[[#This Row],[antal]]/B101</f>
        <v>8.6721286514522909E-3</v>
      </c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</row>
    <row r="14" spans="1:106" x14ac:dyDescent="0.2">
      <c r="A14" s="7" t="s">
        <v>25</v>
      </c>
      <c r="B14">
        <v>47542</v>
      </c>
      <c r="C14" s="6">
        <f>Tabel7[[#This Row],[antal]]/B101</f>
        <v>9.7558112762912569E-3</v>
      </c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</row>
    <row r="15" spans="1:106" x14ac:dyDescent="0.2">
      <c r="A15" s="7" t="s">
        <v>26</v>
      </c>
      <c r="B15">
        <v>19278</v>
      </c>
      <c r="C15" s="6">
        <f>Tabel7[[#This Row],[antal]]/B101</f>
        <v>3.9559238101960969E-3</v>
      </c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</row>
    <row r="16" spans="1:106" x14ac:dyDescent="0.2">
      <c r="A16" s="7" t="s">
        <v>27</v>
      </c>
      <c r="B16">
        <v>46511</v>
      </c>
      <c r="C16" s="6">
        <f>Tabel7[[#This Row],[antal]]/B101</f>
        <v>9.5442458935590148E-3</v>
      </c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</row>
    <row r="17" spans="1:106" x14ac:dyDescent="0.2">
      <c r="A17" s="7" t="s">
        <v>28</v>
      </c>
      <c r="B17">
        <v>35561</v>
      </c>
      <c r="C17" s="6">
        <f>Tabel7[[#This Row],[antal]]/B101</f>
        <v>7.2972614697781619E-3</v>
      </c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</row>
    <row r="18" spans="1:106" x14ac:dyDescent="0.2">
      <c r="A18" s="7" t="s">
        <v>29</v>
      </c>
      <c r="B18">
        <v>14264</v>
      </c>
      <c r="C18" s="6">
        <f>Tabel7[[#This Row],[antal]]/B101</f>
        <v>2.9270306685671298E-3</v>
      </c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</row>
    <row r="19" spans="1:106" x14ac:dyDescent="0.2">
      <c r="A19" s="7" t="s">
        <v>30</v>
      </c>
      <c r="B19">
        <v>20241</v>
      </c>
      <c r="C19" s="6">
        <f>Tabel7[[#This Row],[antal]]/B101</f>
        <v>4.1535353170546324E-3</v>
      </c>
      <c r="G19" s="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</row>
    <row r="20" spans="1:106" x14ac:dyDescent="0.2">
      <c r="A20" s="7" t="s">
        <v>31</v>
      </c>
      <c r="B20">
        <v>35409</v>
      </c>
      <c r="C20" s="6">
        <f>Tabel7[[#This Row],[antal]]/B101</f>
        <v>7.2660704531192864E-3</v>
      </c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</row>
    <row r="21" spans="1:106" x14ac:dyDescent="0.2">
      <c r="A21" s="7" t="s">
        <v>32</v>
      </c>
      <c r="B21">
        <v>33483</v>
      </c>
      <c r="C21" s="6">
        <f>Tabel7[[#This Row],[antal]]/B101</f>
        <v>6.8708474394022162E-3</v>
      </c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</row>
    <row r="22" spans="1:106" x14ac:dyDescent="0.2">
      <c r="A22" s="7" t="s">
        <v>33</v>
      </c>
      <c r="B22">
        <v>38915</v>
      </c>
      <c r="C22" s="6">
        <f>Tabel7[[#This Row],[antal]]/B101</f>
        <v>7.9855158768430915E-3</v>
      </c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</row>
    <row r="23" spans="1:106" x14ac:dyDescent="0.2">
      <c r="A23" s="7" t="s">
        <v>34</v>
      </c>
      <c r="B23">
        <v>32685</v>
      </c>
      <c r="C23" s="6">
        <f>Tabel7[[#This Row],[antal]]/B101</f>
        <v>6.707094601943118E-3</v>
      </c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</row>
    <row r="24" spans="1:106" x14ac:dyDescent="0.2">
      <c r="A24" s="7" t="s">
        <v>35</v>
      </c>
      <c r="B24">
        <v>34902</v>
      </c>
      <c r="C24" s="6">
        <f>Tabel7[[#This Row],[antal]]/B101</f>
        <v>7.1620319962373783E-3</v>
      </c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</row>
    <row r="25" spans="1:106" x14ac:dyDescent="0.2">
      <c r="A25" s="7" t="s">
        <v>36</v>
      </c>
      <c r="B25">
        <v>26517</v>
      </c>
      <c r="C25" s="6">
        <f>Tabel7[[#This Row],[antal]]/B101</f>
        <v>5.4413959785750551E-3</v>
      </c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</row>
    <row r="26" spans="1:106" x14ac:dyDescent="0.2">
      <c r="A26" s="7" t="s">
        <v>37</v>
      </c>
      <c r="B26">
        <v>52281</v>
      </c>
      <c r="C26" s="6">
        <f>Tabel7[[#This Row],[antal]]/B101</f>
        <v>1.0728273302254496E-2</v>
      </c>
      <c r="G26" s="3"/>
    </row>
    <row r="27" spans="1:106" x14ac:dyDescent="0.2">
      <c r="A27" s="7" t="s">
        <v>38</v>
      </c>
      <c r="B27">
        <v>43798</v>
      </c>
      <c r="C27" s="6">
        <f>Tabel7[[#This Row],[antal]]/B101</f>
        <v>8.9875272870094756E-3</v>
      </c>
    </row>
    <row r="28" spans="1:106" x14ac:dyDescent="0.2">
      <c r="A28" s="7" t="s">
        <v>39</v>
      </c>
      <c r="B28">
        <v>20342</v>
      </c>
      <c r="C28" s="6">
        <f>Tabel7[[#This Row],[antal]]/B101</f>
        <v>4.1742609268082273E-3</v>
      </c>
    </row>
    <row r="29" spans="1:106" x14ac:dyDescent="0.2">
      <c r="A29" s="7" t="s">
        <v>40</v>
      </c>
      <c r="B29">
        <v>44930</v>
      </c>
      <c r="C29" s="6">
        <f>Tabel7[[#This Row],[antal]]/B101</f>
        <v>9.2198182794953135E-3</v>
      </c>
    </row>
    <row r="30" spans="1:106" x14ac:dyDescent="0.2">
      <c r="A30" s="7" t="s">
        <v>41</v>
      </c>
      <c r="B30">
        <v>32517</v>
      </c>
      <c r="C30" s="6">
        <f>Tabel7[[#This Row],[antal]]/B101</f>
        <v>6.6726203203727819E-3</v>
      </c>
    </row>
    <row r="31" spans="1:106" x14ac:dyDescent="0.2">
      <c r="A31" s="7" t="s">
        <v>42</v>
      </c>
      <c r="B31">
        <v>73</v>
      </c>
      <c r="C31" s="6">
        <f>Tabel7[[#This Row],[antal]]/B101</f>
        <v>1.4979896158539012E-5</v>
      </c>
    </row>
    <row r="32" spans="1:106" x14ac:dyDescent="0.2">
      <c r="A32" s="7" t="s">
        <v>43</v>
      </c>
      <c r="B32">
        <v>42263</v>
      </c>
      <c r="C32" s="6">
        <f>Tabel7[[#This Row],[antal]]/B101</f>
        <v>8.6725390595662234E-3</v>
      </c>
    </row>
    <row r="33" spans="1:3" x14ac:dyDescent="0.2">
      <c r="A33" s="7" t="s">
        <v>44</v>
      </c>
      <c r="B33">
        <v>51354</v>
      </c>
      <c r="C33" s="6">
        <f>Tabel7[[#This Row],[antal]]/B101</f>
        <v>1.0538049141446746E-2</v>
      </c>
    </row>
    <row r="34" spans="1:3" x14ac:dyDescent="0.2">
      <c r="A34" s="7" t="s">
        <v>45</v>
      </c>
      <c r="B34">
        <v>23389</v>
      </c>
      <c r="C34" s="6">
        <f>Tabel7[[#This Row],[antal]]/B101</f>
        <v>4.7995176883845062E-3</v>
      </c>
    </row>
    <row r="35" spans="1:3" x14ac:dyDescent="0.2">
      <c r="A35" s="7" t="s">
        <v>46</v>
      </c>
      <c r="B35">
        <v>73913</v>
      </c>
      <c r="C35" s="6">
        <f>Tabel7[[#This Row],[antal]]/B101</f>
        <v>1.5167247462549233E-2</v>
      </c>
    </row>
    <row r="36" spans="1:3" x14ac:dyDescent="0.2">
      <c r="A36" s="7" t="s">
        <v>47</v>
      </c>
      <c r="B36">
        <v>19186</v>
      </c>
      <c r="C36" s="6">
        <f>Tabel7[[#This Row],[antal]]/B101</f>
        <v>3.9370450369551986E-3</v>
      </c>
    </row>
    <row r="37" spans="1:3" x14ac:dyDescent="0.2">
      <c r="A37" s="7" t="s">
        <v>48</v>
      </c>
      <c r="B37">
        <v>31231</v>
      </c>
      <c r="C37" s="6">
        <f>Tabel7[[#This Row],[antal]]/B101</f>
        <v>6.4087279031141359E-3</v>
      </c>
    </row>
    <row r="38" spans="1:3" x14ac:dyDescent="0.2">
      <c r="A38" s="7" t="s">
        <v>49</v>
      </c>
      <c r="B38">
        <v>49543</v>
      </c>
      <c r="C38" s="6">
        <f>Tabel7[[#This Row],[antal]]/B101</f>
        <v>1.0166424594280798E-2</v>
      </c>
    </row>
    <row r="39" spans="1:3" x14ac:dyDescent="0.2">
      <c r="A39" s="7" t="s">
        <v>50</v>
      </c>
      <c r="B39">
        <v>60429</v>
      </c>
      <c r="C39" s="6">
        <f>Tabel7[[#This Row],[antal]]/B101</f>
        <v>1.2400275958415809E-2</v>
      </c>
    </row>
    <row r="40" spans="1:3" x14ac:dyDescent="0.2">
      <c r="A40" s="7" t="s">
        <v>51</v>
      </c>
      <c r="B40">
        <v>39849</v>
      </c>
      <c r="C40" s="6">
        <f>Tabel7[[#This Row],[antal]]/B101</f>
        <v>8.1771764660496047E-3</v>
      </c>
    </row>
    <row r="41" spans="1:3" x14ac:dyDescent="0.2">
      <c r="A41" s="7" t="s">
        <v>52</v>
      </c>
      <c r="B41">
        <v>33024</v>
      </c>
      <c r="C41" s="6">
        <f>Tabel7[[#This Row],[antal]]/B101</f>
        <v>6.7766587772546899E-3</v>
      </c>
    </row>
    <row r="42" spans="1:3" x14ac:dyDescent="0.2">
      <c r="A42" s="7" t="s">
        <v>53</v>
      </c>
      <c r="B42">
        <v>69502</v>
      </c>
      <c r="C42" s="6">
        <f>Tabel7[[#This Row],[antal]]/B101</f>
        <v>1.4262092367270938E-2</v>
      </c>
    </row>
    <row r="43" spans="1:3" x14ac:dyDescent="0.2">
      <c r="A43" s="7" t="s">
        <v>54</v>
      </c>
      <c r="B43">
        <v>27441</v>
      </c>
      <c r="C43" s="6">
        <f>Tabel7[[#This Row],[antal]]/B101</f>
        <v>5.6310045272119046E-3</v>
      </c>
    </row>
    <row r="44" spans="1:3" x14ac:dyDescent="0.2">
      <c r="A44" s="7" t="s">
        <v>55</v>
      </c>
      <c r="B44">
        <v>29014</v>
      </c>
      <c r="C44" s="6">
        <f>Tabel7[[#This Row],[antal]]/B101</f>
        <v>5.9537905088198756E-3</v>
      </c>
    </row>
    <row r="45" spans="1:3" x14ac:dyDescent="0.2">
      <c r="A45" s="7" t="s">
        <v>56</v>
      </c>
      <c r="B45">
        <v>66600</v>
      </c>
      <c r="C45" s="6">
        <f>Tabel7[[#This Row],[antal]]/B101</f>
        <v>1.366659019395477E-2</v>
      </c>
    </row>
    <row r="46" spans="1:3" x14ac:dyDescent="0.2">
      <c r="A46" s="7" t="s">
        <v>57</v>
      </c>
      <c r="B46">
        <v>24698</v>
      </c>
      <c r="C46" s="6">
        <f>Tabel7[[#This Row],[antal]]/B101</f>
        <v>5.0681297989533776E-3</v>
      </c>
    </row>
    <row r="47" spans="1:3" x14ac:dyDescent="0.2">
      <c r="A47" s="7" t="s">
        <v>58</v>
      </c>
      <c r="B47">
        <v>19412</v>
      </c>
      <c r="C47" s="6">
        <f>Tabel7[[#This Row],[antal]]/B101</f>
        <v>3.9834211538295793E-3</v>
      </c>
    </row>
    <row r="48" spans="1:3" x14ac:dyDescent="0.2">
      <c r="A48" s="7" t="s">
        <v>59</v>
      </c>
      <c r="B48">
        <v>37698</v>
      </c>
      <c r="C48" s="6">
        <f>Tabel7[[#This Row],[antal]]/B101</f>
        <v>7.7357825395151193E-3</v>
      </c>
    </row>
    <row r="49" spans="1:3" x14ac:dyDescent="0.2">
      <c r="A49" s="7" t="s">
        <v>60</v>
      </c>
      <c r="B49">
        <v>32889</v>
      </c>
      <c r="C49" s="6">
        <f>Tabel7[[#This Row],[antal]]/B101</f>
        <v>6.7489562295642413E-3</v>
      </c>
    </row>
    <row r="50" spans="1:3" x14ac:dyDescent="0.2">
      <c r="A50" s="7" t="s">
        <v>61</v>
      </c>
      <c r="B50">
        <v>42302</v>
      </c>
      <c r="C50" s="6">
        <f>Tabel7[[#This Row],[antal]]/B101</f>
        <v>8.6805420177879077E-3</v>
      </c>
    </row>
    <row r="51" spans="1:3" x14ac:dyDescent="0.2">
      <c r="A51" s="7" t="s">
        <v>62</v>
      </c>
      <c r="B51">
        <v>19849</v>
      </c>
      <c r="C51" s="6">
        <f>Tabel7[[#This Row],[antal]]/B101</f>
        <v>4.0730953267238473E-3</v>
      </c>
    </row>
    <row r="52" spans="1:3" x14ac:dyDescent="0.2">
      <c r="A52" s="7" t="s">
        <v>63</v>
      </c>
      <c r="B52">
        <v>10399</v>
      </c>
      <c r="C52" s="6">
        <f>Tabel7[[#This Row],[antal]]/B101</f>
        <v>2.1339169883924274E-3</v>
      </c>
    </row>
    <row r="53" spans="1:3" x14ac:dyDescent="0.2">
      <c r="A53" s="7" t="s">
        <v>64</v>
      </c>
      <c r="B53">
        <v>32689</v>
      </c>
      <c r="C53" s="6">
        <f>Tabel7[[#This Row],[antal]]/B101</f>
        <v>6.7079154181709831E-3</v>
      </c>
    </row>
    <row r="54" spans="1:3" x14ac:dyDescent="0.2">
      <c r="A54" s="7" t="s">
        <v>65</v>
      </c>
      <c r="B54">
        <v>23858</v>
      </c>
      <c r="C54" s="6">
        <f>Tabel7[[#This Row],[antal]]/B101</f>
        <v>4.8957583911016954E-3</v>
      </c>
    </row>
    <row r="55" spans="1:3" x14ac:dyDescent="0.2">
      <c r="A55" s="7" t="s">
        <v>66</v>
      </c>
      <c r="B55">
        <v>26512</v>
      </c>
      <c r="C55" s="6">
        <f>Tabel7[[#This Row],[antal]]/B101</f>
        <v>5.4403699582902237E-3</v>
      </c>
    </row>
    <row r="56" spans="1:3" x14ac:dyDescent="0.2">
      <c r="A56" s="7" t="s">
        <v>67</v>
      </c>
      <c r="B56">
        <v>173821</v>
      </c>
      <c r="C56" s="6">
        <f>Tabel7[[#This Row],[antal]]/B101</f>
        <v>3.5668774385937123E-2</v>
      </c>
    </row>
    <row r="57" spans="1:3" x14ac:dyDescent="0.2">
      <c r="A57" s="7" t="s">
        <v>68</v>
      </c>
      <c r="B57">
        <v>48421</v>
      </c>
      <c r="C57" s="6">
        <f>Tabel7[[#This Row],[antal]]/B101</f>
        <v>9.9361856423646235E-3</v>
      </c>
    </row>
    <row r="58" spans="1:3" x14ac:dyDescent="0.2">
      <c r="A58" s="7" t="s">
        <v>69</v>
      </c>
      <c r="B58">
        <v>5003</v>
      </c>
      <c r="C58" s="6">
        <f>Tabel7[[#This Row],[antal]]/B101</f>
        <v>1.026635897002338E-3</v>
      </c>
    </row>
    <row r="59" spans="1:3" x14ac:dyDescent="0.2">
      <c r="A59" s="7" t="s">
        <v>70</v>
      </c>
      <c r="B59">
        <v>21699</v>
      </c>
      <c r="C59" s="6">
        <f>Tabel7[[#This Row],[antal]]/B101</f>
        <v>4.4527228321114797E-3</v>
      </c>
    </row>
    <row r="60" spans="1:3" x14ac:dyDescent="0.2">
      <c r="A60" s="7" t="s">
        <v>71</v>
      </c>
      <c r="B60">
        <v>93043</v>
      </c>
      <c r="C60" s="6">
        <f>Tabel7[[#This Row],[antal]]/B101</f>
        <v>1.9092801072314321E-2</v>
      </c>
    </row>
    <row r="61" spans="1:3" x14ac:dyDescent="0.2">
      <c r="A61" s="7" t="s">
        <v>72</v>
      </c>
      <c r="B61">
        <v>2773</v>
      </c>
      <c r="C61" s="6">
        <f>Tabel7[[#This Row],[antal]]/B101</f>
        <v>5.6903084996751617E-4</v>
      </c>
    </row>
    <row r="62" spans="1:3" x14ac:dyDescent="0.2">
      <c r="A62" s="7" t="s">
        <v>73</v>
      </c>
      <c r="B62">
        <v>43068</v>
      </c>
      <c r="C62" s="6">
        <f>Tabel7[[#This Row],[antal]]/B101</f>
        <v>8.8377283254240848E-3</v>
      </c>
    </row>
    <row r="63" spans="1:3" x14ac:dyDescent="0.2">
      <c r="A63" s="7" t="s">
        <v>74</v>
      </c>
      <c r="B63">
        <v>45089</v>
      </c>
      <c r="C63" s="6">
        <f>Tabel7[[#This Row],[antal]]/B101</f>
        <v>9.2524457245529521E-3</v>
      </c>
    </row>
    <row r="64" spans="1:3" x14ac:dyDescent="0.2">
      <c r="A64" s="7" t="s">
        <v>75</v>
      </c>
      <c r="B64">
        <v>76540</v>
      </c>
      <c r="C64" s="6">
        <f>Tabel7[[#This Row],[antal]]/B101</f>
        <v>1.5706318520199672E-2</v>
      </c>
    </row>
    <row r="65" spans="1:3" x14ac:dyDescent="0.2">
      <c r="A65" s="7" t="s">
        <v>76</v>
      </c>
      <c r="B65">
        <v>60575</v>
      </c>
      <c r="C65" s="6">
        <f>Tabel7[[#This Row],[antal]]/B101</f>
        <v>1.2430235750732887E-2</v>
      </c>
    </row>
    <row r="66" spans="1:3" x14ac:dyDescent="0.2">
      <c r="A66" s="7" t="s">
        <v>77</v>
      </c>
      <c r="B66">
        <v>29600</v>
      </c>
      <c r="C66" s="6">
        <f>Tabel7[[#This Row],[antal]]/B101</f>
        <v>6.0740400862021203E-3</v>
      </c>
    </row>
    <row r="67" spans="1:3" x14ac:dyDescent="0.2">
      <c r="A67" s="7" t="s">
        <v>78</v>
      </c>
      <c r="B67">
        <v>39809</v>
      </c>
      <c r="C67" s="6">
        <f>Tabel7[[#This Row],[antal]]/B101</f>
        <v>8.1689683037709532E-3</v>
      </c>
    </row>
    <row r="68" spans="1:3" x14ac:dyDescent="0.2">
      <c r="A68" s="7" t="s">
        <v>79</v>
      </c>
      <c r="B68">
        <v>34014</v>
      </c>
      <c r="C68" s="6">
        <f>Tabel7[[#This Row],[antal]]/B101</f>
        <v>6.9798107936513152E-3</v>
      </c>
    </row>
    <row r="69" spans="1:3" x14ac:dyDescent="0.2">
      <c r="A69" s="7" t="s">
        <v>80</v>
      </c>
      <c r="B69">
        <v>97340</v>
      </c>
      <c r="C69" s="6">
        <f>Tabel7[[#This Row],[antal]]/B101</f>
        <v>1.9974562905098459E-2</v>
      </c>
    </row>
    <row r="70" spans="1:3" x14ac:dyDescent="0.2">
      <c r="A70" s="7" t="s">
        <v>81</v>
      </c>
      <c r="B70">
        <v>47452</v>
      </c>
      <c r="C70" s="6">
        <f>Tabel7[[#This Row],[antal]]/B101</f>
        <v>9.7373429111642911E-3</v>
      </c>
    </row>
    <row r="71" spans="1:3" x14ac:dyDescent="0.2">
      <c r="A71" s="7" t="s">
        <v>82</v>
      </c>
      <c r="B71">
        <v>38080</v>
      </c>
      <c r="C71" s="6">
        <f>Tabel7[[#This Row],[antal]]/B101</f>
        <v>7.8141704892762415E-3</v>
      </c>
    </row>
    <row r="72" spans="1:3" x14ac:dyDescent="0.2">
      <c r="A72" s="7" t="s">
        <v>83</v>
      </c>
      <c r="B72">
        <v>38604</v>
      </c>
      <c r="C72" s="6">
        <f>Tabel7[[#This Row],[antal]]/B101</f>
        <v>7.9216974151265756E-3</v>
      </c>
    </row>
    <row r="73" spans="1:3" x14ac:dyDescent="0.2">
      <c r="A73" s="7" t="s">
        <v>84</v>
      </c>
      <c r="B73">
        <v>77747</v>
      </c>
      <c r="C73" s="6">
        <f>Tabel7[[#This Row],[antal]]/B101</f>
        <v>1.595399981695798E-2</v>
      </c>
    </row>
    <row r="74" spans="1:3" x14ac:dyDescent="0.2">
      <c r="A74" s="7" t="s">
        <v>85</v>
      </c>
      <c r="B74">
        <v>30363</v>
      </c>
      <c r="C74" s="6">
        <f>Tabel7[[#This Row],[antal]]/B101</f>
        <v>6.2306107816673976E-3</v>
      </c>
    </row>
    <row r="75" spans="1:3" x14ac:dyDescent="0.2">
      <c r="A75" s="7" t="s">
        <v>86</v>
      </c>
      <c r="B75">
        <v>19361</v>
      </c>
      <c r="C75" s="6">
        <f>Tabel7[[#This Row],[antal]]/B101</f>
        <v>3.9729557469242987E-3</v>
      </c>
    </row>
    <row r="76" spans="1:3" x14ac:dyDescent="0.2">
      <c r="A76" s="7" t="s">
        <v>87</v>
      </c>
      <c r="B76">
        <v>80992</v>
      </c>
      <c r="C76" s="6">
        <f>Tabel7[[#This Row],[antal]]/B101</f>
        <v>1.6619886981813586E-2</v>
      </c>
    </row>
    <row r="77" spans="1:3" x14ac:dyDescent="0.2">
      <c r="A77" s="7" t="s">
        <v>88</v>
      </c>
      <c r="B77">
        <v>3134</v>
      </c>
      <c r="C77" s="6">
        <f>Tabel7[[#This Row],[antal]]/B101</f>
        <v>6.4310951453234609E-4</v>
      </c>
    </row>
    <row r="78" spans="1:3" x14ac:dyDescent="0.2">
      <c r="A78" s="7" t="s">
        <v>89</v>
      </c>
      <c r="B78">
        <v>80177</v>
      </c>
      <c r="C78" s="6">
        <f>Tabel7[[#This Row],[antal]]/B101</f>
        <v>1.6452645675386061E-2</v>
      </c>
    </row>
    <row r="79" spans="1:3" x14ac:dyDescent="0.2">
      <c r="A79" s="7" t="s">
        <v>90</v>
      </c>
      <c r="B79">
        <v>49757</v>
      </c>
      <c r="C79" s="6">
        <f>Tabel7[[#This Row],[antal]]/B101</f>
        <v>1.0210338262471584E-2</v>
      </c>
    </row>
    <row r="80" spans="1:3" x14ac:dyDescent="0.2">
      <c r="A80" s="7" t="s">
        <v>91</v>
      </c>
      <c r="B80">
        <v>35853</v>
      </c>
      <c r="C80" s="6">
        <f>Tabel7[[#This Row],[antal]]/B101</f>
        <v>7.3571810544123184E-3</v>
      </c>
    </row>
    <row r="81" spans="1:3" x14ac:dyDescent="0.2">
      <c r="A81" s="7" t="s">
        <v>92</v>
      </c>
      <c r="B81">
        <v>311503</v>
      </c>
      <c r="C81" s="6">
        <f>Tabel7[[#This Row],[antal]]/B101</f>
        <v>6.3921679357169567E-2</v>
      </c>
    </row>
    <row r="82" spans="1:3" x14ac:dyDescent="0.2">
      <c r="A82" s="7" t="s">
        <v>93</v>
      </c>
      <c r="B82">
        <v>71849</v>
      </c>
      <c r="C82" s="6">
        <f>Tabel7[[#This Row],[antal]]/B101</f>
        <v>1.4743706288970815E-2</v>
      </c>
    </row>
    <row r="83" spans="1:3" x14ac:dyDescent="0.2">
      <c r="A83" s="7" t="s">
        <v>94</v>
      </c>
      <c r="B83">
        <v>47088</v>
      </c>
      <c r="C83" s="6">
        <f>Tabel7[[#This Row],[antal]]/B101</f>
        <v>9.6626486344285629E-3</v>
      </c>
    </row>
    <row r="84" spans="1:3" x14ac:dyDescent="0.2">
      <c r="A84" s="7" t="s">
        <v>95</v>
      </c>
      <c r="B84">
        <v>34268</v>
      </c>
      <c r="C84" s="6">
        <f>Tabel7[[#This Row],[antal]]/B101</f>
        <v>7.0319326241207519E-3</v>
      </c>
    </row>
    <row r="85" spans="1:3" x14ac:dyDescent="0.2">
      <c r="A85" s="7" t="s">
        <v>96</v>
      </c>
      <c r="B85">
        <v>15550</v>
      </c>
      <c r="C85" s="6">
        <f>Tabel7[[#This Row],[antal]]/B101</f>
        <v>3.1909230858257762E-3</v>
      </c>
    </row>
    <row r="86" spans="1:3" x14ac:dyDescent="0.2">
      <c r="A86" s="7" t="s">
        <v>97</v>
      </c>
      <c r="B86">
        <v>44752</v>
      </c>
      <c r="C86" s="6">
        <f>Tabel7[[#This Row],[antal]]/B101</f>
        <v>9.1832919573553145E-3</v>
      </c>
    </row>
    <row r="87" spans="1:3" x14ac:dyDescent="0.2">
      <c r="A87" s="7" t="s">
        <v>98</v>
      </c>
      <c r="B87">
        <v>36428</v>
      </c>
      <c r="C87" s="6">
        <f>Tabel7[[#This Row],[antal]]/B101</f>
        <v>7.4751733871679339E-3</v>
      </c>
    </row>
    <row r="88" spans="1:3" x14ac:dyDescent="0.2">
      <c r="A88" s="7" t="s">
        <v>99</v>
      </c>
      <c r="B88">
        <v>16663</v>
      </c>
      <c r="C88" s="6">
        <f>Tabel7[[#This Row],[antal]]/B101</f>
        <v>3.4193152012292542E-3</v>
      </c>
    </row>
    <row r="89" spans="1:3" x14ac:dyDescent="0.2">
      <c r="A89" s="7" t="s">
        <v>100</v>
      </c>
      <c r="B89">
        <v>78087</v>
      </c>
      <c r="C89" s="6">
        <f>Tabel7[[#This Row],[antal]]/B101</f>
        <v>1.6023769196326518E-2</v>
      </c>
    </row>
    <row r="90" spans="1:3" x14ac:dyDescent="0.2">
      <c r="A90" s="7" t="s">
        <v>101</v>
      </c>
      <c r="B90">
        <v>28984</v>
      </c>
      <c r="C90" s="6">
        <f>Tabel7[[#This Row],[antal]]/B101</f>
        <v>5.947634387110887E-3</v>
      </c>
    </row>
    <row r="91" spans="1:3" x14ac:dyDescent="0.2">
      <c r="A91" s="7" t="s">
        <v>102</v>
      </c>
      <c r="B91">
        <v>48141</v>
      </c>
      <c r="C91" s="6">
        <f>Tabel7[[#This Row],[antal]]/B101</f>
        <v>9.8787285064140633E-3</v>
      </c>
    </row>
    <row r="92" spans="1:3" x14ac:dyDescent="0.2">
      <c r="A92" s="7" t="s">
        <v>103</v>
      </c>
      <c r="B92">
        <v>51740</v>
      </c>
      <c r="C92" s="6">
        <f>Tabel7[[#This Row],[antal]]/B101</f>
        <v>1.0617257907435734E-2</v>
      </c>
    </row>
    <row r="93" spans="1:3" x14ac:dyDescent="0.2">
      <c r="A93" s="7" t="s">
        <v>104</v>
      </c>
      <c r="B93">
        <v>30778</v>
      </c>
      <c r="C93" s="6">
        <f>Tabel7[[#This Row],[antal]]/B101</f>
        <v>6.3157704653084073E-3</v>
      </c>
    </row>
    <row r="94" spans="1:3" x14ac:dyDescent="0.2">
      <c r="A94" s="7" t="s">
        <v>105</v>
      </c>
      <c r="B94">
        <v>1501</v>
      </c>
      <c r="C94" s="6">
        <f>Tabel7[[#This Row],[antal]]/B101</f>
        <v>3.0801128950639804E-4</v>
      </c>
    </row>
    <row r="95" spans="1:3" x14ac:dyDescent="0.2">
      <c r="A95" s="7" t="s">
        <v>106</v>
      </c>
      <c r="B95">
        <v>33996</v>
      </c>
      <c r="C95" s="6">
        <f>Tabel7[[#This Row],[antal]]/B101</f>
        <v>6.976117120625922E-3</v>
      </c>
    </row>
    <row r="96" spans="1:3" x14ac:dyDescent="0.2">
      <c r="A96" s="7" t="s">
        <v>107</v>
      </c>
      <c r="B96">
        <v>15900</v>
      </c>
      <c r="C96" s="6">
        <f>Tabel7[[#This Row],[antal]]/B101</f>
        <v>3.2627445057639769E-3</v>
      </c>
    </row>
    <row r="97" spans="1:3" x14ac:dyDescent="0.2">
      <c r="A97" s="7" t="s">
        <v>108</v>
      </c>
      <c r="B97">
        <v>23875</v>
      </c>
      <c r="C97" s="6">
        <f>Tabel7[[#This Row],[antal]]/B101</f>
        <v>4.8992468600701222E-3</v>
      </c>
    </row>
    <row r="98" spans="1:3" x14ac:dyDescent="0.2">
      <c r="A98" s="7" t="s">
        <v>109</v>
      </c>
      <c r="B98">
        <v>34484</v>
      </c>
      <c r="C98" s="6">
        <f>Tabel7[[#This Row],[antal]]/B101</f>
        <v>7.0762567004254697E-3</v>
      </c>
    </row>
    <row r="99" spans="1:3" x14ac:dyDescent="0.2">
      <c r="A99" s="7" t="s">
        <v>110</v>
      </c>
      <c r="B99">
        <v>29193</v>
      </c>
      <c r="C99" s="6">
        <f>Tabel7[[#This Row],[antal]]/B101</f>
        <v>5.9905220350168409E-3</v>
      </c>
    </row>
    <row r="100" spans="1:3" x14ac:dyDescent="0.2">
      <c r="A100" s="7" t="s">
        <v>111</v>
      </c>
      <c r="B100">
        <v>185773</v>
      </c>
      <c r="C100" s="6">
        <f>Tabel7[[#This Row],[antal]]/B101</f>
        <v>3.8121373274798191E-2</v>
      </c>
    </row>
    <row r="101" spans="1:3" x14ac:dyDescent="0.2">
      <c r="A101" s="3" t="s">
        <v>3</v>
      </c>
      <c r="B101">
        <f>SUM(B2:B100)</f>
        <v>4873198</v>
      </c>
      <c r="C101" s="6">
        <f>Tabel7[[#This Row],[antal]]/B101</f>
        <v>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9603-AFCE-7743-A5F8-AFD003CFF752}">
  <dimension ref="A1:Q30"/>
  <sheetViews>
    <sheetView workbookViewId="0">
      <selection activeCell="E28" sqref="E28"/>
    </sheetView>
  </sheetViews>
  <sheetFormatPr baseColWidth="10" defaultRowHeight="15" x14ac:dyDescent="0.2"/>
  <cols>
    <col min="1" max="1" width="21" customWidth="1"/>
  </cols>
  <sheetData>
    <row r="1" spans="1:17" x14ac:dyDescent="0.2">
      <c r="A1" t="s">
        <v>12</v>
      </c>
      <c r="B1" t="s">
        <v>1</v>
      </c>
      <c r="C1" t="s">
        <v>2</v>
      </c>
    </row>
    <row r="2" spans="1:17" x14ac:dyDescent="0.2">
      <c r="A2" t="s">
        <v>7</v>
      </c>
      <c r="B2">
        <v>1573286</v>
      </c>
      <c r="C2" s="6">
        <f>Tabel2[[#This Row],[antal]]/B7</f>
        <v>0.32284466996826316</v>
      </c>
    </row>
    <row r="3" spans="1:17" x14ac:dyDescent="0.2">
      <c r="A3" t="s">
        <v>8</v>
      </c>
      <c r="B3">
        <v>698546</v>
      </c>
      <c r="C3" s="6">
        <f>Tabel2[[#This Row],[antal]]/B7</f>
        <v>0.14334447317757251</v>
      </c>
    </row>
    <row r="4" spans="1:17" x14ac:dyDescent="0.2">
      <c r="A4" t="s">
        <v>9</v>
      </c>
      <c r="B4">
        <v>1006745</v>
      </c>
      <c r="C4" s="6">
        <f>Tabel2[[#This Row],[antal]]/B7</f>
        <v>0.20658815833052546</v>
      </c>
    </row>
    <row r="5" spans="1:17" x14ac:dyDescent="0.2">
      <c r="A5" t="s">
        <v>10</v>
      </c>
      <c r="B5">
        <v>1110256</v>
      </c>
      <c r="C5" s="6">
        <f>Tabel2[[#This Row],[antal]]/B7</f>
        <v>0.22782903547116287</v>
      </c>
    </row>
    <row r="6" spans="1:17" x14ac:dyDescent="0.2">
      <c r="A6" t="s">
        <v>11</v>
      </c>
      <c r="B6">
        <v>484365</v>
      </c>
      <c r="C6" s="6">
        <f>Tabel2[[#This Row],[antal]]/B7</f>
        <v>9.9393663052476017E-2</v>
      </c>
    </row>
    <row r="7" spans="1:17" x14ac:dyDescent="0.2">
      <c r="A7" t="s">
        <v>3</v>
      </c>
      <c r="B7">
        <f>SUM(B2:B6)</f>
        <v>4873198</v>
      </c>
      <c r="C7" s="6">
        <f>Tabel2[[#This Row],[antal]]/Tabel2[[#This Row],[antal]]</f>
        <v>1</v>
      </c>
    </row>
    <row r="11" spans="1:17" x14ac:dyDescent="0.2">
      <c r="M11" s="3"/>
      <c r="N11" s="3"/>
      <c r="O11" s="3"/>
      <c r="P11" s="3"/>
      <c r="Q11" s="3"/>
    </row>
    <row r="12" spans="1:17" x14ac:dyDescent="0.2">
      <c r="I12" s="3"/>
      <c r="J12" s="3"/>
      <c r="K12" s="3"/>
      <c r="L12" s="3"/>
      <c r="M12" s="4"/>
      <c r="N12" s="4"/>
      <c r="O12" s="4"/>
      <c r="P12" s="4"/>
      <c r="Q12" s="4"/>
    </row>
    <row r="13" spans="1:17" x14ac:dyDescent="0.2">
      <c r="L13" s="3"/>
      <c r="M13" s="4"/>
      <c r="N13" s="4"/>
      <c r="O13" s="4"/>
      <c r="P13" s="4"/>
      <c r="Q13" s="4"/>
    </row>
    <row r="14" spans="1:17" x14ac:dyDescent="0.2">
      <c r="L14" s="3"/>
      <c r="M14" s="4"/>
      <c r="N14" s="4"/>
      <c r="O14" s="4"/>
      <c r="P14" s="4"/>
      <c r="Q14" s="4"/>
    </row>
    <row r="15" spans="1:17" x14ac:dyDescent="0.2">
      <c r="L15" s="3"/>
      <c r="M15" s="4"/>
      <c r="N15" s="4"/>
      <c r="O15" s="4"/>
      <c r="P15" s="4"/>
      <c r="Q15" s="4"/>
    </row>
    <row r="16" spans="1:17" x14ac:dyDescent="0.2">
      <c r="L16" s="3"/>
      <c r="M16" s="4"/>
      <c r="N16" s="4"/>
      <c r="O16" s="4"/>
      <c r="P16" s="4"/>
      <c r="Q16" s="4"/>
    </row>
    <row r="17" spans="12:17" x14ac:dyDescent="0.2">
      <c r="L17" s="3"/>
      <c r="M17" s="4"/>
      <c r="N17" s="4"/>
      <c r="O17" s="4"/>
      <c r="P17" s="4"/>
      <c r="Q17" s="4"/>
    </row>
    <row r="18" spans="12:17" x14ac:dyDescent="0.2">
      <c r="L18" s="3"/>
      <c r="M18" s="4"/>
      <c r="N18" s="4"/>
      <c r="O18" s="4"/>
      <c r="P18" s="4"/>
      <c r="Q18" s="4"/>
    </row>
    <row r="19" spans="12:17" x14ac:dyDescent="0.2">
      <c r="L19" s="3"/>
      <c r="M19" s="4"/>
      <c r="N19" s="4"/>
      <c r="O19" s="4"/>
      <c r="P19" s="4"/>
      <c r="Q19" s="4"/>
    </row>
    <row r="20" spans="12:17" x14ac:dyDescent="0.2">
      <c r="L20" s="3"/>
      <c r="M20" s="4"/>
      <c r="N20" s="4"/>
      <c r="O20" s="4"/>
      <c r="P20" s="4"/>
      <c r="Q20" s="4"/>
    </row>
    <row r="21" spans="12:17" x14ac:dyDescent="0.2">
      <c r="L21" s="3"/>
      <c r="M21" s="4"/>
      <c r="N21" s="4"/>
      <c r="O21" s="4"/>
      <c r="P21" s="4"/>
      <c r="Q21" s="4"/>
    </row>
    <row r="22" spans="12:17" x14ac:dyDescent="0.2">
      <c r="L22" s="3"/>
      <c r="M22" s="4"/>
      <c r="N22" s="4"/>
      <c r="O22" s="4"/>
      <c r="P22" s="4"/>
      <c r="Q22" s="4"/>
    </row>
    <row r="23" spans="12:17" x14ac:dyDescent="0.2">
      <c r="L23" s="3"/>
      <c r="M23" s="4"/>
      <c r="N23" s="4"/>
      <c r="O23" s="4"/>
      <c r="P23" s="4"/>
      <c r="Q23" s="4"/>
    </row>
    <row r="24" spans="12:17" x14ac:dyDescent="0.2">
      <c r="L24" s="3"/>
      <c r="M24" s="4"/>
      <c r="N24" s="4"/>
      <c r="O24" s="4"/>
      <c r="P24" s="4"/>
      <c r="Q24" s="4"/>
    </row>
    <row r="25" spans="12:17" x14ac:dyDescent="0.2">
      <c r="L25" s="3"/>
      <c r="M25" s="4"/>
      <c r="N25" s="4"/>
      <c r="O25" s="4"/>
      <c r="P25" s="4"/>
      <c r="Q25" s="4"/>
    </row>
    <row r="26" spans="12:17" x14ac:dyDescent="0.2">
      <c r="L26" s="3"/>
      <c r="M26" s="4"/>
      <c r="N26" s="4"/>
      <c r="O26" s="4"/>
      <c r="P26" s="4"/>
      <c r="Q26" s="4"/>
    </row>
    <row r="27" spans="12:17" x14ac:dyDescent="0.2">
      <c r="L27" s="3"/>
      <c r="M27" s="4"/>
      <c r="N27" s="4"/>
      <c r="O27" s="4"/>
      <c r="P27" s="4"/>
      <c r="Q27" s="4"/>
    </row>
    <row r="28" spans="12:17" x14ac:dyDescent="0.2">
      <c r="L28" s="3"/>
      <c r="M28" s="4"/>
      <c r="N28" s="4"/>
      <c r="O28" s="4"/>
      <c r="P28" s="4"/>
      <c r="Q28" s="4"/>
    </row>
    <row r="29" spans="12:17" x14ac:dyDescent="0.2">
      <c r="L29" s="3"/>
      <c r="M29" s="4"/>
      <c r="N29" s="4"/>
      <c r="O29" s="4"/>
      <c r="P29" s="4"/>
      <c r="Q29" s="4"/>
    </row>
    <row r="30" spans="12:17" x14ac:dyDescent="0.2">
      <c r="L3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AB6F0-834E-7842-A5D5-1759353FB823}">
  <dimension ref="A1:D20"/>
  <sheetViews>
    <sheetView workbookViewId="0">
      <selection activeCell="F30" sqref="F30"/>
    </sheetView>
  </sheetViews>
  <sheetFormatPr baseColWidth="10" defaultRowHeight="15" x14ac:dyDescent="0.2"/>
  <cols>
    <col min="1" max="1" width="26.83203125" customWidth="1"/>
  </cols>
  <sheetData>
    <row r="1" spans="1:4" x14ac:dyDescent="0.2">
      <c r="A1" s="3" t="s">
        <v>123</v>
      </c>
      <c r="B1" s="3" t="s">
        <v>1</v>
      </c>
      <c r="C1" s="3" t="s">
        <v>2</v>
      </c>
      <c r="D1" s="3"/>
    </row>
    <row r="2" spans="1:4" x14ac:dyDescent="0.2">
      <c r="A2" s="3" t="s">
        <v>113</v>
      </c>
      <c r="B2" s="4">
        <v>938039</v>
      </c>
      <c r="C2" s="6">
        <f>B2/B12</f>
        <v>0.2260945122539095</v>
      </c>
    </row>
    <row r="3" spans="1:4" x14ac:dyDescent="0.2">
      <c r="A3" s="3" t="s">
        <v>114</v>
      </c>
      <c r="B3" s="4">
        <v>11863</v>
      </c>
      <c r="C3" s="6">
        <f>B3/B12</f>
        <v>2.8593258903607719E-3</v>
      </c>
    </row>
    <row r="4" spans="1:4" x14ac:dyDescent="0.2">
      <c r="A4" s="3" t="s">
        <v>115</v>
      </c>
      <c r="B4" s="4">
        <v>463884</v>
      </c>
      <c r="C4" s="6">
        <f>B4/B12</f>
        <v>0.11180945218950657</v>
      </c>
    </row>
    <row r="5" spans="1:4" x14ac:dyDescent="0.2">
      <c r="A5" s="3" t="s">
        <v>116</v>
      </c>
      <c r="B5" s="4">
        <v>1120906</v>
      </c>
      <c r="C5" s="6">
        <f>B5/B12</f>
        <v>0.27017074487572551</v>
      </c>
    </row>
    <row r="6" spans="1:4" x14ac:dyDescent="0.2">
      <c r="A6" s="3" t="s">
        <v>117</v>
      </c>
      <c r="B6" s="4">
        <v>222851</v>
      </c>
      <c r="C6" s="6">
        <f>B6/B12</f>
        <v>5.3713532326796633E-2</v>
      </c>
    </row>
    <row r="7" spans="1:4" x14ac:dyDescent="0.2">
      <c r="A7" s="3" t="s">
        <v>118</v>
      </c>
      <c r="B7" s="4">
        <v>649128</v>
      </c>
      <c r="C7" s="6">
        <f>B7/B12</f>
        <v>0.15645861051657314</v>
      </c>
    </row>
    <row r="8" spans="1:4" x14ac:dyDescent="0.2">
      <c r="A8" s="3" t="s">
        <v>119</v>
      </c>
      <c r="B8" s="4">
        <v>142432</v>
      </c>
      <c r="C8" s="6">
        <f>B8/B12</f>
        <v>3.4330228881047413E-2</v>
      </c>
    </row>
    <row r="9" spans="1:4" x14ac:dyDescent="0.2">
      <c r="A9" s="3" t="s">
        <v>120</v>
      </c>
      <c r="B9" s="4">
        <v>504199</v>
      </c>
      <c r="C9" s="6">
        <f>B9/B12</f>
        <v>0.12152653246177282</v>
      </c>
    </row>
    <row r="10" spans="1:4" x14ac:dyDescent="0.2">
      <c r="A10" s="3" t="s">
        <v>121</v>
      </c>
      <c r="B10" s="4">
        <v>49445</v>
      </c>
      <c r="C10" s="6">
        <f>B10/B12</f>
        <v>1.1917674167486165E-2</v>
      </c>
    </row>
    <row r="11" spans="1:4" x14ac:dyDescent="0.2">
      <c r="A11" s="3" t="s">
        <v>122</v>
      </c>
      <c r="B11" s="4">
        <v>46133</v>
      </c>
      <c r="C11" s="6">
        <f>B11/B12</f>
        <v>1.1119386436821503E-2</v>
      </c>
    </row>
    <row r="12" spans="1:4" x14ac:dyDescent="0.2">
      <c r="A12" s="3" t="s">
        <v>3</v>
      </c>
      <c r="B12">
        <f>SUM(B2:B11)</f>
        <v>4148880</v>
      </c>
      <c r="C12" s="6">
        <f>B12/B12</f>
        <v>1</v>
      </c>
    </row>
    <row r="19" spans="1:1" ht="17" x14ac:dyDescent="0.2">
      <c r="A19" s="1"/>
    </row>
    <row r="20" spans="1:1" x14ac:dyDescent="0.2">
      <c r="A20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0EFB-F09B-FD47-8DDC-A655C60BEA91}">
  <dimension ref="A1:F14"/>
  <sheetViews>
    <sheetView tabSelected="1" workbookViewId="0">
      <selection activeCell="A3" sqref="A3"/>
    </sheetView>
  </sheetViews>
  <sheetFormatPr baseColWidth="10" defaultRowHeight="15" x14ac:dyDescent="0.2"/>
  <cols>
    <col min="1" max="1" width="23.83203125" customWidth="1"/>
  </cols>
  <sheetData>
    <row r="1" spans="1:6" x14ac:dyDescent="0.2">
      <c r="A1" t="s">
        <v>218</v>
      </c>
      <c r="B1" t="s">
        <v>219</v>
      </c>
    </row>
    <row r="2" spans="1:6" x14ac:dyDescent="0.2">
      <c r="A2" t="s">
        <v>220</v>
      </c>
      <c r="B2" s="6">
        <v>0.20899999999999999</v>
      </c>
    </row>
    <row r="3" spans="1:6" x14ac:dyDescent="0.2">
      <c r="A3" t="s">
        <v>232</v>
      </c>
      <c r="B3" s="6">
        <v>0.125</v>
      </c>
      <c r="F3" s="8"/>
    </row>
    <row r="4" spans="1:6" x14ac:dyDescent="0.2">
      <c r="A4" t="s">
        <v>221</v>
      </c>
      <c r="B4" s="6">
        <v>0.12</v>
      </c>
    </row>
    <row r="5" spans="1:6" x14ac:dyDescent="0.2">
      <c r="A5" t="s">
        <v>222</v>
      </c>
      <c r="B5" s="6">
        <v>0.114</v>
      </c>
    </row>
    <row r="6" spans="1:6" x14ac:dyDescent="0.2">
      <c r="A6" t="s">
        <v>223</v>
      </c>
      <c r="B6" s="6">
        <v>9.0999999999999998E-2</v>
      </c>
    </row>
    <row r="7" spans="1:6" x14ac:dyDescent="0.2">
      <c r="A7" t="s">
        <v>224</v>
      </c>
      <c r="B7" s="6">
        <v>7.9000000000000001E-2</v>
      </c>
    </row>
    <row r="8" spans="1:6" x14ac:dyDescent="0.2">
      <c r="A8" t="s">
        <v>225</v>
      </c>
      <c r="B8" s="6">
        <v>7.5999999999999998E-2</v>
      </c>
    </row>
    <row r="9" spans="1:6" x14ac:dyDescent="0.2">
      <c r="A9" t="s">
        <v>226</v>
      </c>
      <c r="B9" s="6">
        <v>6.2E-2</v>
      </c>
    </row>
    <row r="10" spans="1:6" x14ac:dyDescent="0.2">
      <c r="A10" t="s">
        <v>227</v>
      </c>
      <c r="B10" s="6">
        <v>4.8000000000000001E-2</v>
      </c>
    </row>
    <row r="11" spans="1:6" x14ac:dyDescent="0.2">
      <c r="A11" t="s">
        <v>228</v>
      </c>
      <c r="B11" s="6">
        <v>2.7E-2</v>
      </c>
    </row>
    <row r="12" spans="1:6" x14ac:dyDescent="0.2">
      <c r="A12" t="s">
        <v>229</v>
      </c>
      <c r="B12" s="6">
        <v>2.4E-2</v>
      </c>
    </row>
    <row r="13" spans="1:6" x14ac:dyDescent="0.2">
      <c r="A13" t="s">
        <v>230</v>
      </c>
      <c r="B13" s="6">
        <v>1.4E-2</v>
      </c>
    </row>
    <row r="14" spans="1:6" x14ac:dyDescent="0.2">
      <c r="A14" t="s">
        <v>231</v>
      </c>
      <c r="B14" s="6">
        <f>SUM(B2:B13)</f>
        <v>0.98899999999999999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Alder</vt:lpstr>
      <vt:lpstr>Køn</vt:lpstr>
      <vt:lpstr>Kommune</vt:lpstr>
      <vt:lpstr>Region</vt:lpstr>
      <vt:lpstr>Uddannelse</vt:lpstr>
      <vt:lpstr>Partivalg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Linea Marie Kronborg Johansen</cp:lastModifiedBy>
  <dcterms:created xsi:type="dcterms:W3CDTF">2025-10-31T08:45:19Z</dcterms:created>
  <dcterms:modified xsi:type="dcterms:W3CDTF">2025-10-31T10:56:47Z</dcterms:modified>
</cp:coreProperties>
</file>